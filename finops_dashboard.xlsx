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xr:revisionPtr revIDLastSave="0" documentId="13_ncr:1_{386D01FD-D3A0-4BA8-A946-DC659D70F06B}" xr6:coauthVersionLast="47" xr6:coauthVersionMax="47" xr10:uidLastSave="{00000000-0000-0000-0000-000000000000}"/>
  <bookViews>
    <workbookView xWindow="-120" yWindow="-120" windowWidth="20730" windowHeight="11040" xr2:uid="{7CBF4C6F-161B-4F48-8703-B8A0BD5B4AF1}"/>
  </bookViews>
  <sheets>
    <sheet name="Dashboard" sheetId="20" r:id="rId1"/>
    <sheet name="Lookup" sheetId="17" r:id="rId2"/>
    <sheet name="Top 10" sheetId="18" r:id="rId3"/>
    <sheet name="calc" sheetId="19" state="hidden" r:id="rId4"/>
    <sheet name="_checks" sheetId="9" state="hidden" r:id="rId5"/>
    <sheet name="_checks_measures" sheetId="11" state="hidden" r:id="rId6"/>
    <sheet name="tbl_monthly" sheetId="12" state="hidden" r:id="rId7"/>
    <sheet name="tbl_budget" sheetId="14" state="hidden" r:id="rId8"/>
    <sheet name="tbl_team" sheetId="15" state="hidden" r:id="rId9"/>
    <sheet name="tbl_month" sheetId="16" state="hidden" r:id="rId10"/>
    <sheet name="tbl_resources" sheetId="13" state="hidden" r:id="rId11"/>
    <sheet name="dim_account" sheetId="3" state="hidden" r:id="rId12"/>
  </sheets>
  <definedNames>
    <definedName name="DadosExternos_1" localSheetId="6" hidden="1">tbl_monthly!$A$1:$E$115</definedName>
    <definedName name="DadosExternos_2" localSheetId="11" hidden="1">dim_account!$A$1:$C$5</definedName>
    <definedName name="DadosExternos_2" localSheetId="7" hidden="1">tbl_budget!$A$1:$C$19</definedName>
    <definedName name="DadosExternos_2" localSheetId="10" hidden="1">tbl_resources!$A$1:$G$56</definedName>
    <definedName name="DadosExternos_3" localSheetId="8" hidden="1">tbl_team!$A$1:$A$4</definedName>
    <definedName name="DadosExternos_4" localSheetId="9" hidden="1">tbl_month!$A$1:$A$7</definedName>
    <definedName name="_xlnm.Print_Area" localSheetId="0">Dashboard!$A$1:$M$50</definedName>
    <definedName name="SegmentaçãodeDados_team">#N/A</definedName>
    <definedName name="Timeline_date">#N/A</definedName>
  </definedNames>
  <calcPr calcId="191029"/>
  <pivotCaches>
    <pivotCache cacheId="28" r:id="rId13"/>
    <pivotCache cacheId="31" r:id="rId14"/>
    <pivotCache cacheId="259" r:id="rId15"/>
    <pivotCache cacheId="262" r:id="rId16"/>
    <pivotCache cacheId="265" r:id="rId17"/>
    <pivotCache cacheId="268" r:id="rId18"/>
    <pivotCache cacheId="271" r:id="rId19"/>
  </pivotCaches>
  <extLst>
    <ext xmlns:x14="http://schemas.microsoft.com/office/spreadsheetml/2009/9/main" uri="{876F7934-8845-4945-9796-88D515C7AA90}">
      <x14:pivotCaches>
        <pivotCache cacheId="11" r:id="rId20"/>
      </x14:pivotCaches>
    </ext>
    <ext xmlns:x14="http://schemas.microsoft.com/office/spreadsheetml/2009/9/main" uri="{BBE1A952-AA13-448e-AADC-164F8A28A991}">
      <x14:slicerCaches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" r:id="rId22"/>
      </x15:timelineCachePivotCaches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illing_4596b85b-7d99-47b3-8ace-9d950158bea2" name="fact_billing" connection="Consulta - fact_billing"/>
          <x15:modelTable id="fact_budget_7a427f0f-f107-43dc-b83f-6e96c8422096" name="fact_budget" connection="Consulta - fact_budget"/>
          <x15:modelTable id="dim_date_34f92307-8e83-4e05-bd67-cb2bd4b75237" name="dim_date" connection="Consulta - dim_date"/>
          <x15:modelTable id="dim_team_b69ce71c-c866-474b-95a0-fab03b3906f7" name="dim_team" connection="Consulta - dim_team"/>
        </x15:modelTables>
        <x15:modelRelationships>
          <x15:modelRelationship fromTable="fact_billing" fromColumn="usage_date" toTable="dim_date" toColumn="date"/>
          <x15:modelRelationship fromTable="fact_billing" fromColumn="team" toTable="dim_team" toColumn="team"/>
          <x15:modelRelationship fromTable="fact_budget" fromColumn="month_start" toTable="dim_date" toColumn="date"/>
          <x15:modelRelationship fromTable="fact_budget" fromColumn="team" toTable="dim_team" toColumn="team"/>
        </x15:modelRelationships>
      </x15:dataModel>
    </ext>
  </extLst>
</workbook>
</file>

<file path=xl/calcChain.xml><?xml version="1.0" encoding="utf-8"?>
<calcChain xmlns="http://schemas.openxmlformats.org/spreadsheetml/2006/main">
  <c r="B13" i="18" l="1"/>
  <c r="I13" i="18" s="1"/>
  <c r="B12" i="18"/>
  <c r="I12" i="18" s="1"/>
  <c r="B11" i="18"/>
  <c r="I11" i="18" s="1"/>
  <c r="B10" i="18"/>
  <c r="I10" i="18" s="1"/>
  <c r="B9" i="18"/>
  <c r="I9" i="18" s="1"/>
  <c r="B8" i="18"/>
  <c r="I8" i="18" s="1"/>
  <c r="B7" i="18"/>
  <c r="I7" i="18" s="1"/>
  <c r="B6" i="18"/>
  <c r="I6" i="18" s="1"/>
  <c r="B5" i="18"/>
  <c r="I5" i="18" s="1"/>
  <c r="B4" i="18"/>
  <c r="I4" i="18" s="1"/>
  <c r="B11" i="17"/>
  <c r="B9" i="17"/>
  <c r="B6" i="17" a="1"/>
  <c r="B6" i="17" s="1"/>
  <c r="B5" i="17"/>
  <c r="B4" i="20"/>
  <c r="H5" i="20"/>
  <c r="H4" i="20"/>
  <c r="D4" i="20"/>
  <c r="J4" i="20"/>
  <c r="F4" i="20"/>
  <c r="B10" i="17" l="1"/>
  <c r="B12" i="17"/>
  <c r="B8" i="17"/>
  <c r="C4" i="18"/>
  <c r="C5" i="18"/>
  <c r="C6" i="18"/>
  <c r="C7" i="18"/>
  <c r="C8" i="18"/>
  <c r="C9" i="18"/>
  <c r="C10" i="18"/>
  <c r="C11" i="18"/>
  <c r="C12" i="18"/>
  <c r="C13" i="18"/>
  <c r="B7" i="17"/>
  <c r="E9" i="18" l="1"/>
  <c r="D9" i="18"/>
  <c r="H9" i="18"/>
  <c r="G9" i="18"/>
  <c r="F9" i="18"/>
  <c r="E8" i="18"/>
  <c r="D8" i="18"/>
  <c r="G8" i="18"/>
  <c r="F8" i="18"/>
  <c r="H8" i="18"/>
  <c r="E10" i="18"/>
  <c r="D10" i="18"/>
  <c r="G10" i="18"/>
  <c r="F10" i="18"/>
  <c r="H10" i="18"/>
  <c r="E7" i="18"/>
  <c r="D7" i="18"/>
  <c r="H7" i="18"/>
  <c r="G7" i="18"/>
  <c r="F7" i="18"/>
  <c r="E6" i="18"/>
  <c r="D6" i="18"/>
  <c r="H6" i="18"/>
  <c r="G6" i="18"/>
  <c r="F6" i="18"/>
  <c r="E5" i="18"/>
  <c r="D5" i="18"/>
  <c r="G5" i="18"/>
  <c r="F5" i="18"/>
  <c r="H5" i="18"/>
  <c r="H13" i="18"/>
  <c r="G13" i="18"/>
  <c r="F13" i="18"/>
  <c r="E13" i="18"/>
  <c r="D13" i="18"/>
  <c r="E12" i="18"/>
  <c r="D12" i="18"/>
  <c r="G12" i="18"/>
  <c r="F12" i="18"/>
  <c r="H12" i="18"/>
  <c r="E4" i="18"/>
  <c r="D4" i="18"/>
  <c r="H4" i="18"/>
  <c r="G4" i="18"/>
  <c r="F4" i="18"/>
  <c r="E11" i="18"/>
  <c r="D11" i="18"/>
  <c r="H11" i="18"/>
  <c r="G11" i="18"/>
  <c r="F11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09A20-9763-4143-8743-31B635E053F8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C8C6191-3D6A-4E7F-93A9-0F6A526996DE}" keepAlive="1" name="Consulta - dim_account" description="Conexão com a consulta 'dim_account' na pasta de trabalho." type="5" refreshedVersion="8" background="1" saveData="1">
    <dbPr connection="Provider=Microsoft.Mashup.OleDb.1;Data Source=$Workbook$;Location=dim_account;Extended Properties=&quot;&quot;" command="SELECT * FROM [dim_account]"/>
  </connection>
  <connection id="3" xr16:uid="{AA8944AA-24FB-4A75-A7F7-D79394577AA3}" name="Consulta - dim_date" description="Conexão com a consulta 'dim_date' na pasta de trabalho." type="100" refreshedVersion="8" minRefreshableVersion="5">
    <extLst>
      <ext xmlns:x15="http://schemas.microsoft.com/office/spreadsheetml/2010/11/main" uri="{DE250136-89BD-433C-8126-D09CA5730AF9}">
        <x15:connection id="c3812943-4abb-4daf-bdc0-a5c376b2f478"/>
      </ext>
    </extLst>
  </connection>
  <connection id="4" xr16:uid="{E7A36BC6-CA0A-44CA-91F7-FB0ECE13386D}" name="Consulta - dim_team" description="Conexão com a consulta 'dim_team' na pasta de trabalho." type="100" refreshedVersion="8" minRefreshableVersion="5">
    <extLst>
      <ext xmlns:x15="http://schemas.microsoft.com/office/spreadsheetml/2010/11/main" uri="{DE250136-89BD-433C-8126-D09CA5730AF9}">
        <x15:connection id="61ed6416-3fdc-4d00-96f6-1bf8fada5db5"/>
      </ext>
    </extLst>
  </connection>
  <connection id="5" xr16:uid="{9A9E31AE-1A2F-4DE1-A2C8-7D4DC5F87D9C}" name="Consulta - fact_billing" description="Conexão com a consulta 'fact_billing' na pasta de trabalho." type="100" refreshedVersion="8" minRefreshableVersion="5">
    <extLst>
      <ext xmlns:x15="http://schemas.microsoft.com/office/spreadsheetml/2010/11/main" uri="{DE250136-89BD-433C-8126-D09CA5730AF9}">
        <x15:connection id="0dca3f80-19a5-47ad-b28e-a14f3c9d3306"/>
      </ext>
    </extLst>
  </connection>
  <connection id="6" xr16:uid="{6F6DF8AC-7763-4693-962E-3A02AC1E274C}" name="Consulta - fact_budget" description="Conexão com a consulta 'fact_budget' na pasta de trabalho." type="100" refreshedVersion="8" minRefreshableVersion="5">
    <extLst>
      <ext xmlns:x15="http://schemas.microsoft.com/office/spreadsheetml/2010/11/main" uri="{DE250136-89BD-433C-8126-D09CA5730AF9}">
        <x15:connection id="76375aab-bd99-492c-8d89-6404b3224d72"/>
      </ext>
    </extLst>
  </connection>
  <connection id="7" xr16:uid="{1835E3A2-CDA8-4DA4-8248-28E2807320FA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8" xr16:uid="{5677153A-57DA-48E5-AA73-DBB5298762B0}" keepAlive="1" name="Consulta - tbl_budget" description="Conexão com a consulta 'tbl_budget' na pasta de trabalho." type="5" refreshedVersion="8" background="1" saveData="1">
    <dbPr connection="Provider=Microsoft.Mashup.OleDb.1;Data Source=$Workbook$;Location=tbl_budget;Extended Properties=&quot;&quot;" command="SELECT * FROM [tbl_budget]"/>
  </connection>
  <connection id="9" xr16:uid="{28B041EF-0E48-4B46-9447-4BA4281E1D1A}" keepAlive="1" name="Consulta - tbl_month" description="Conexão com a consulta 'tbl_month' na pasta de trabalho." type="5" refreshedVersion="8" background="1" saveData="1">
    <dbPr connection="Provider=Microsoft.Mashup.OleDb.1;Data Source=$Workbook$;Location=tbl_month;Extended Properties=&quot;&quot;" command="SELECT * FROM [tbl_month]"/>
  </connection>
  <connection id="10" xr16:uid="{3B57AFC5-3F4E-4089-9080-F511B12B9D73}" keepAlive="1" name="Consulta - tbl_monthly" description="Conexão com a consulta 'tbl_monthly' na pasta de trabalho." type="5" refreshedVersion="8" background="1" saveData="1">
    <dbPr connection="Provider=Microsoft.Mashup.OleDb.1;Data Source=$Workbook$;Location=tbl_monthly;Extended Properties=&quot;&quot;" command="SELECT * FROM [tbl_monthly]"/>
  </connection>
  <connection id="11" xr16:uid="{6226E0B8-6CE9-41B4-828B-3FA07610B635}" keepAlive="1" name="Consulta - tbl_resources" description="Conexão com a consulta 'tbl_resources' na pasta de trabalho." type="5" refreshedVersion="8" background="1" saveData="1">
    <dbPr connection="Provider=Microsoft.Mashup.OleDb.1;Data Source=$Workbook$;Location=tbl_resources;Extended Properties=&quot;&quot;" command="SELECT * FROM [tbl_resources]"/>
  </connection>
  <connection id="12" xr16:uid="{BF37495E-6E7D-4B47-823F-8A72A9E55769}" keepAlive="1" name="Consulta - tbl_team" description="Conexão com a consulta 'tbl_team' na pasta de trabalho." type="5" refreshedVersion="8" background="1" saveData="1">
    <dbPr connection="Provider=Microsoft.Mashup.OleDb.1;Data Source=$Workbook$;Location=tbl_team;Extended Properties=&quot;&quot;" command="SELECT * FROM [tbl_team]"/>
  </connection>
  <connection id="13" xr16:uid="{3D3D1CF9-677A-446A-A7E6-05071362E8B2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4" xr16:uid="{9CB76B44-681C-423B-A839-B7B66ECBB091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5" xr16:uid="{4244916E-C6A7-4A2E-9C8E-EBDFA0A2E960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<sst xmlns="http://schemas.openxmlformats.org/spreadsheetml/2006/main" count="790" uniqueCount="132">
  <si>
    <t>account_id</t>
  </si>
  <si>
    <t>account_name</t>
  </si>
  <si>
    <t>111111111111</t>
  </si>
  <si>
    <t>prod-platform</t>
  </si>
  <si>
    <t>platform</t>
  </si>
  <si>
    <t>222222222222</t>
  </si>
  <si>
    <t>prod-data</t>
  </si>
  <si>
    <t>data</t>
  </si>
  <si>
    <t>333333333333</t>
  </si>
  <si>
    <t>prod-web</t>
  </si>
  <si>
    <t>web</t>
  </si>
  <si>
    <t>444444444444</t>
  </si>
  <si>
    <t>sandbox</t>
  </si>
  <si>
    <t>default_team</t>
  </si>
  <si>
    <t>Soma de cost_usd</t>
  </si>
  <si>
    <t>Soma de budget_usd</t>
  </si>
  <si>
    <t>Untagged Cost</t>
  </si>
  <si>
    <t>% Untagged</t>
  </si>
  <si>
    <t>Budget</t>
  </si>
  <si>
    <t>Budget Variance</t>
  </si>
  <si>
    <t>% of Budget</t>
  </si>
  <si>
    <t>Cost Prev Month</t>
  </si>
  <si>
    <t>Total Cost</t>
  </si>
  <si>
    <t>MoM %</t>
  </si>
  <si>
    <t>month_start</t>
  </si>
  <si>
    <t>team</t>
  </si>
  <si>
    <t>service</t>
  </si>
  <si>
    <t>allocation</t>
  </si>
  <si>
    <t>cost_usd</t>
  </si>
  <si>
    <t>AWSLambda</t>
  </si>
  <si>
    <t>tag</t>
  </si>
  <si>
    <t>AmazonCloudFront</t>
  </si>
  <si>
    <t>AmazonDynamoDB</t>
  </si>
  <si>
    <t>AmazonEC2</t>
  </si>
  <si>
    <t>AmazonRDS</t>
  </si>
  <si>
    <t>AmazonS3</t>
  </si>
  <si>
    <t>account default</t>
  </si>
  <si>
    <t>resource_id</t>
  </si>
  <si>
    <t>tag_environment</t>
  </si>
  <si>
    <t>first_seen</t>
  </si>
  <si>
    <t>i-d1654b0d60dc</t>
  </si>
  <si>
    <t>dev</t>
  </si>
  <si>
    <t>i-bdec3c334cca</t>
  </si>
  <si>
    <t>i-24575e4f6d7b</t>
  </si>
  <si>
    <t>staging</t>
  </si>
  <si>
    <t>i-a0c052e563ce</t>
  </si>
  <si>
    <t>i-fe482ed4a92c</t>
  </si>
  <si>
    <t>prod</t>
  </si>
  <si>
    <t>i-56585dd1fadb</t>
  </si>
  <si>
    <t>db-003d9371f745</t>
  </si>
  <si>
    <t>i-c616f8fd0ba8</t>
  </si>
  <si>
    <t>db-29a7155ad5b4</t>
  </si>
  <si>
    <t>db-22107943bb7a</t>
  </si>
  <si>
    <t>i-49786b5b4413</t>
  </si>
  <si>
    <t>i-4bbca7330b05</t>
  </si>
  <si>
    <t>db-d3d74c3035df</t>
  </si>
  <si>
    <t>i-636a2296a793</t>
  </si>
  <si>
    <t>db-caf9fe9b8d8e</t>
  </si>
  <si>
    <t>db-b9fa0d4af211</t>
  </si>
  <si>
    <t>db-d97720f7d61a</t>
  </si>
  <si>
    <t>i-3b73a0cc162f</t>
  </si>
  <si>
    <t>dist-ae7481ff4fb7</t>
  </si>
  <si>
    <t>dist-1c9c3877df49</t>
  </si>
  <si>
    <t>dist-0bbc6adf7089</t>
  </si>
  <si>
    <t>dist-1a3ed13a32e9</t>
  </si>
  <si>
    <t>dist-449f72858875</t>
  </si>
  <si>
    <t>ddb-4df386e8ed4c</t>
  </si>
  <si>
    <t>dist-a47ed1640ca4</t>
  </si>
  <si>
    <t>dist-7ea22b8b695f</t>
  </si>
  <si>
    <t>ddb-68aed124b941</t>
  </si>
  <si>
    <t>ddb-7476acbdef8e</t>
  </si>
  <si>
    <t>ddb-104af6b1ba1c</t>
  </si>
  <si>
    <t>dist-b52f511d9cb8</t>
  </si>
  <si>
    <t>bucket-5eb40f1b7cba</t>
  </si>
  <si>
    <t>bucket-9eb903ad90cd</t>
  </si>
  <si>
    <t>ddb-c7d953e47c9a</t>
  </si>
  <si>
    <t>dist-5f68fa8635ca</t>
  </si>
  <si>
    <t>dist-9b0341314a55</t>
  </si>
  <si>
    <t>dist-d11d6f9901a9</t>
  </si>
  <si>
    <t>dist-be32c262ec6a</t>
  </si>
  <si>
    <t>dist-70acb4063d1f</t>
  </si>
  <si>
    <t>fn-02df1c49615a</t>
  </si>
  <si>
    <t>fn-218a5dca3303</t>
  </si>
  <si>
    <t>ddb-49c9fd454b20</t>
  </si>
  <si>
    <t>dist-0eed40ef171c</t>
  </si>
  <si>
    <t>ddb-3bae1603803a</t>
  </si>
  <si>
    <t>bucket-e8bba51a55db</t>
  </si>
  <si>
    <t>fn-f1f2f416b598</t>
  </si>
  <si>
    <t>fn-26fae9480469</t>
  </si>
  <si>
    <t>fn-36e9bdc605cd</t>
  </si>
  <si>
    <t>fn-d638b34fa781</t>
  </si>
  <si>
    <t>ddb-2a7ee0991882</t>
  </si>
  <si>
    <t>ddb-8374eb35c0dc</t>
  </si>
  <si>
    <t>bucket-c8a41445823b</t>
  </si>
  <si>
    <t>ddb-01aefb61ad7b</t>
  </si>
  <si>
    <t>fn-56d0aa0bc138</t>
  </si>
  <si>
    <t>fn-cd1a801c367d</t>
  </si>
  <si>
    <t>fn-e8d9224ecde3</t>
  </si>
  <si>
    <t>budget_usd</t>
  </si>
  <si>
    <t>#</t>
  </si>
  <si>
    <t>2026-01</t>
  </si>
  <si>
    <t>2026-02</t>
  </si>
  <si>
    <t>2026-03</t>
  </si>
  <si>
    <t>2026-04</t>
  </si>
  <si>
    <t>2026-05</t>
  </si>
  <si>
    <t>2026-06</t>
  </si>
  <si>
    <t>Teams Over Budget</t>
  </si>
  <si>
    <t>Total cost</t>
  </si>
  <si>
    <t>% of budget</t>
  </si>
  <si>
    <t>% untagged</t>
  </si>
  <si>
    <t>Teams over budget</t>
  </si>
  <si>
    <t>Team</t>
  </si>
  <si>
    <t>Month</t>
  </si>
  <si>
    <t>Cost</t>
  </si>
  <si>
    <t>Variance</t>
  </si>
  <si>
    <t>Prior month cost</t>
  </si>
  <si>
    <t>MoM change</t>
  </si>
  <si>
    <t>Untagged cost</t>
  </si>
  <si>
    <t>Row</t>
  </si>
  <si>
    <t>Resource</t>
  </si>
  <si>
    <t>Service</t>
  </si>
  <si>
    <t>Environment</t>
  </si>
  <si>
    <t>First seen</t>
  </si>
  <si>
    <t>% of total</t>
  </si>
  <si>
    <t>Cloud Cost Dashboard — FinOps</t>
  </si>
  <si>
    <t>Synthetic AWS billing data · Jan–Jun 2026 · Filter with the period timeline and the team slicer</t>
  </si>
  <si>
    <t>needs a single month selected</t>
  </si>
  <si>
    <t>Cost lookup — pick a team and a month</t>
  </si>
  <si>
    <t>← dropdown</t>
  </si>
  <si>
    <t>Top 10 most expensive resources · Jan–Jun 2026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</si>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</sst>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\-0.0%;0.0%"/>
    <numFmt numFmtId="165" formatCode="\$#,##0;\(\$#,##0\);\$#,##0"/>
    <numFmt numFmtId="166" formatCode="0%;\-0%;0%"/>
    <numFmt numFmtId="167" formatCode="mmm/yyyy"/>
    <numFmt numFmtId="168" formatCode="[$$-409]#,##0.00"/>
    <numFmt numFmtId="169" formatCode="0.0%"/>
    <numFmt numFmtId="170" formatCode="[$$-409]#,##0"/>
  </numFmts>
  <fonts count="8" x14ac:knownFonts="1">
    <font>
      <sz val="11"/>
      <color theme="1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8"/>
      <color rgb="FF111827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CBD5E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F9C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 style="thick">
        <color rgb="FF2563EB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ck">
        <color rgb="FF2563EB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1" fillId="0" borderId="0" xfId="0" applyFont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3" borderId="2" xfId="0" applyFont="1" applyFill="1" applyBorder="1" applyAlignment="1">
      <alignment horizontal="left" indent="1"/>
    </xf>
    <xf numFmtId="0" fontId="0" fillId="3" borderId="0" xfId="0" applyFill="1"/>
    <xf numFmtId="169" fontId="2" fillId="3" borderId="2" xfId="0" applyNumberFormat="1" applyFont="1" applyFill="1" applyBorder="1" applyAlignment="1">
      <alignment horizontal="left" vertical="center" indent="1"/>
    </xf>
    <xf numFmtId="1" fontId="2" fillId="3" borderId="2" xfId="0" applyNumberFormat="1" applyFont="1" applyFill="1" applyBorder="1" applyAlignment="1">
      <alignment horizontal="left" vertical="center" indent="1"/>
    </xf>
    <xf numFmtId="170" fontId="1" fillId="3" borderId="2" xfId="0" applyNumberFormat="1" applyFont="1" applyFill="1" applyBorder="1" applyAlignment="1">
      <alignment horizontal="left" vertical="top" indent="1"/>
    </xf>
    <xf numFmtId="0" fontId="1" fillId="3" borderId="2" xfId="0" applyFont="1" applyFill="1" applyBorder="1" applyAlignment="1">
      <alignment horizontal="left" vertical="top" indent="1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1" xfId="0" applyBorder="1"/>
    <xf numFmtId="168" fontId="0" fillId="0" borderId="1" xfId="0" applyNumberFormat="1" applyBorder="1"/>
    <xf numFmtId="14" fontId="0" fillId="0" borderId="1" xfId="0" applyNumberFormat="1" applyBorder="1" applyAlignment="1">
      <alignment horizontal="center"/>
    </xf>
    <xf numFmtId="169" fontId="0" fillId="0" borderId="1" xfId="0" applyNumberFormat="1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0" fillId="4" borderId="3" xfId="0" applyFill="1" applyBorder="1"/>
    <xf numFmtId="167" fontId="0" fillId="4" borderId="3" xfId="0" applyNumberFormat="1" applyFill="1" applyBorder="1" applyAlignment="1">
      <alignment horizontal="left"/>
    </xf>
    <xf numFmtId="0" fontId="0" fillId="0" borderId="0" xfId="0" applyNumberFormat="1"/>
    <xf numFmtId="170" fontId="2" fillId="3" borderId="2" xfId="0" applyNumberFormat="1" applyFont="1" applyFill="1" applyBorder="1" applyAlignment="1">
      <alignment horizontal="center" vertical="center"/>
    </xf>
    <xf numFmtId="170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19" formatCode="dd/mm/yyyy"/>
    </dxf>
    <dxf>
      <numFmt numFmtId="19" formatCode="dd/mm/yyyy"/>
    </dxf>
    <dxf>
      <numFmt numFmtId="19" formatCode="dd/mm/yyyy"/>
    </dxf>
    <dxf>
      <numFmt numFmtId="167" formatCode="mmm/yyyy"/>
    </dxf>
    <dxf>
      <fill>
        <patternFill>
          <bgColor rgb="FFFEF3C7"/>
        </patternFill>
      </fill>
    </dxf>
    <dxf>
      <font>
        <color rgb="FFDC2626"/>
      </font>
    </dxf>
    <dxf>
      <font>
        <color rgb="FF16A34A"/>
      </font>
    </dxf>
    <dxf>
      <font>
        <color rgb="FFDC262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tyles" Target="styles.xml"/><Relationship Id="rId39" Type="http://schemas.openxmlformats.org/officeDocument/2006/relationships/customXml" Target="../customXml/item10.xml"/><Relationship Id="rId21" Type="http://schemas.microsoft.com/office/2007/relationships/slicerCache" Target="slicerCaches/slicerCache1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29" Type="http://schemas.openxmlformats.org/officeDocument/2006/relationships/calcChain" Target="calcChain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11/relationships/timelineCache" Target="timelineCaches/timelineCach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9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[finops_dashboard.xlsx]calc!Tabela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F2937"/>
                </a:solidFill>
              </a:rPr>
              <a:t>Monthly cost vs budget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CA3AF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CA3AF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calc!$B$3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calc!$A$4:$A$10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calc!$B$4:$B$10</c:f>
              <c:numCache>
                <c:formatCode>\$#,##0;\(\$#,##0\);\$#,##0</c:formatCode>
                <c:ptCount val="6"/>
                <c:pt idx="0">
                  <c:v>16037.560100000001</c:v>
                </c:pt>
                <c:pt idx="1">
                  <c:v>14900.602199999999</c:v>
                </c:pt>
                <c:pt idx="2">
                  <c:v>16853.375800000002</c:v>
                </c:pt>
                <c:pt idx="3">
                  <c:v>22928.3361</c:v>
                </c:pt>
                <c:pt idx="4">
                  <c:v>27895.9535</c:v>
                </c:pt>
                <c:pt idx="5">
                  <c:v>27048.255000000001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A-4EBA-8045-A5BC8C7DDA76}"/>
            </c:ext>
          </c:extLst>
        </c:ser>
        <c:ser>
          <c:idx val="1"/>
          <c:order val="1"/>
          <c:tx>
            <c:strRef>
              <c:f>calc!$C$3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CA3AF"/>
            </a:solidFill>
            <a:ln>
              <a:noFill/>
            </a:ln>
            <a:effectLst/>
          </c:spPr>
          <c:invertIfNegative val="0"/>
          <c:cat>
            <c:strRef>
              <c:f>calc!$A$4:$A$10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calc!$C$4:$C$10</c:f>
              <c:numCache>
                <c:formatCode>\$#,##0;\(\$#,##0\);\$#,##0</c:formatCode>
                <c:ptCount val="6"/>
                <c:pt idx="0">
                  <c:v>17600</c:v>
                </c:pt>
                <c:pt idx="1">
                  <c:v>16500</c:v>
                </c:pt>
                <c:pt idx="2">
                  <c:v>18700</c:v>
                </c:pt>
                <c:pt idx="3">
                  <c:v>18600</c:v>
                </c:pt>
                <c:pt idx="4">
                  <c:v>19800</c:v>
                </c:pt>
                <c:pt idx="5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A-4EBA-8045-A5BC8C7D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585585192"/>
        <c:axId val="585590952"/>
      </c:barChart>
      <c:catAx>
        <c:axId val="58558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5590952"/>
        <c:crosses val="autoZero"/>
        <c:auto val="1"/>
        <c:lblAlgn val="ctr"/>
        <c:lblOffset val="100"/>
        <c:noMultiLvlLbl val="0"/>
      </c:catAx>
      <c:valAx>
        <c:axId val="585590952"/>
        <c:scaling>
          <c:orientation val="minMax"/>
          <c:min val="0"/>
        </c:scaling>
        <c:delete val="0"/>
        <c:axPos val="l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558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[finops_dashboard.xlsx]calc!Tabela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F2937"/>
                </a:solidFill>
              </a:rPr>
              <a:t>Cost vs budget by team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CA3AF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CA3AF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calc!$F$12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calc!$E$13:$E$16</c:f>
              <c:strCache>
                <c:ptCount val="3"/>
                <c:pt idx="0">
                  <c:v>data</c:v>
                </c:pt>
                <c:pt idx="1">
                  <c:v>platform</c:v>
                </c:pt>
                <c:pt idx="2">
                  <c:v>web</c:v>
                </c:pt>
              </c:strCache>
            </c:strRef>
          </c:cat>
          <c:val>
            <c:numRef>
              <c:f>calc!$F$13:$F$16</c:f>
              <c:numCache>
                <c:formatCode>\$#,##0;\(\$#,##0\);\$#,##0</c:formatCode>
                <c:ptCount val="3"/>
                <c:pt idx="0">
                  <c:v>51103.373399999997</c:v>
                </c:pt>
                <c:pt idx="1">
                  <c:v>34256.3436</c:v>
                </c:pt>
                <c:pt idx="2">
                  <c:v>40304.365700000002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6-49FC-846D-CBCE44B44811}"/>
            </c:ext>
          </c:extLst>
        </c:ser>
        <c:ser>
          <c:idx val="1"/>
          <c:order val="1"/>
          <c:tx>
            <c:strRef>
              <c:f>calc!$G$12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CA3AF"/>
            </a:solidFill>
            <a:ln>
              <a:noFill/>
            </a:ln>
            <a:effectLst/>
          </c:spPr>
          <c:invertIfNegative val="0"/>
          <c:cat>
            <c:strRef>
              <c:f>calc!$E$13:$E$16</c:f>
              <c:strCache>
                <c:ptCount val="3"/>
                <c:pt idx="0">
                  <c:v>data</c:v>
                </c:pt>
                <c:pt idx="1">
                  <c:v>platform</c:v>
                </c:pt>
                <c:pt idx="2">
                  <c:v>web</c:v>
                </c:pt>
              </c:strCache>
            </c:strRef>
          </c:cat>
          <c:val>
            <c:numRef>
              <c:f>calc!$G$13:$G$16</c:f>
              <c:numCache>
                <c:formatCode>\$#,##0;\(\$#,##0\);\$#,##0</c:formatCode>
                <c:ptCount val="3"/>
                <c:pt idx="0">
                  <c:v>29700</c:v>
                </c:pt>
                <c:pt idx="1">
                  <c:v>37600</c:v>
                </c:pt>
                <c:pt idx="2">
                  <c:v>43700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6-49FC-846D-CBCE44B44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45266776"/>
        <c:axId val="1245275416"/>
      </c:barChart>
      <c:catAx>
        <c:axId val="124526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5275416"/>
        <c:crosses val="autoZero"/>
        <c:auto val="1"/>
        <c:lblAlgn val="ctr"/>
        <c:lblOffset val="100"/>
        <c:noMultiLvlLbl val="0"/>
      </c:catAx>
      <c:valAx>
        <c:axId val="1245275416"/>
        <c:scaling>
          <c:orientation val="minMax"/>
          <c:min val="0"/>
        </c:scaling>
        <c:delete val="0"/>
        <c:axPos val="b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526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[finops_dashboard.xlsx]calc!Tabela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1F2937"/>
                </a:solidFill>
              </a:rPr>
              <a:t>Cost by service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563EB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  <a:effectLst/>
          </c:spPr>
          <c:invertIfNegative val="0"/>
          <c:cat>
            <c:strRef>
              <c:f>calc!$J$4:$J$10</c:f>
              <c:strCache>
                <c:ptCount val="6"/>
                <c:pt idx="0">
                  <c:v>AmazonEC2</c:v>
                </c:pt>
                <c:pt idx="1">
                  <c:v>AmazonRDS</c:v>
                </c:pt>
                <c:pt idx="2">
                  <c:v>AmazonCloudFront</c:v>
                </c:pt>
                <c:pt idx="3">
                  <c:v>AmazonDynamoDB</c:v>
                </c:pt>
                <c:pt idx="4">
                  <c:v>AWSLambda</c:v>
                </c:pt>
                <c:pt idx="5">
                  <c:v>AmazonS3</c:v>
                </c:pt>
              </c:strCache>
            </c:strRef>
          </c:cat>
          <c:val>
            <c:numRef>
              <c:f>calc!$K$4:$K$10</c:f>
              <c:numCache>
                <c:formatCode>\$#,##0;\(\$#,##0\);\$#,##0</c:formatCode>
                <c:ptCount val="6"/>
                <c:pt idx="0">
                  <c:v>65566.745999999999</c:v>
                </c:pt>
                <c:pt idx="1">
                  <c:v>29710.2922</c:v>
                </c:pt>
                <c:pt idx="2">
                  <c:v>16575.120699999999</c:v>
                </c:pt>
                <c:pt idx="3">
                  <c:v>7504.2394000000004</c:v>
                </c:pt>
                <c:pt idx="4">
                  <c:v>3638.8690000000001</c:v>
                </c:pt>
                <c:pt idx="5">
                  <c:v>2668.8154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1-428C-A806-F35274B2A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75509048"/>
        <c:axId val="1875501848"/>
      </c:barChart>
      <c:catAx>
        <c:axId val="18755090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5501848"/>
        <c:crosses val="autoZero"/>
        <c:auto val="1"/>
        <c:lblAlgn val="ctr"/>
        <c:lblOffset val="100"/>
        <c:noMultiLvlLbl val="0"/>
      </c:catAx>
      <c:valAx>
        <c:axId val="1875501848"/>
        <c:scaling>
          <c:orientation val="minMax"/>
          <c:min val="0"/>
        </c:scaling>
        <c:delete val="0"/>
        <c:axPos val="b"/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550904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2ED9C3-7A6B-48FD-ADF6-7258125E0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DDFB4D-9B29-452B-9E38-DD4E8A42B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98F882-01AC-45AF-B4F8-F08B10608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0</xdr:colOff>
      <xdr:row>6</xdr:row>
      <xdr:rowOff>0</xdr:rowOff>
    </xdr:from>
    <xdr:to>
      <xdr:col>12</xdr:col>
      <xdr:colOff>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eam">
              <a:extLst>
                <a:ext uri="{FF2B5EF4-FFF2-40B4-BE49-F238E27FC236}">
                  <a16:creationId xmlns:a16="http://schemas.microsoft.com/office/drawing/2014/main" id="{EE34A2D6-5745-B55C-E335-F2F74BCC57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8600" y="263026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0</xdr:colOff>
      <xdr:row>6</xdr:row>
      <xdr:rowOff>0</xdr:rowOff>
    </xdr:from>
    <xdr:to>
      <xdr:col>9</xdr:col>
      <xdr:colOff>0</xdr:colOff>
      <xdr:row>12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8A6EC0B8-E5CA-84BD-4F4E-67EB57318B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0553" y="5354411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11434374997" createdVersion="5" refreshedVersion="8" minRefreshableVersion="3" recordCount="0" supportSubquery="1" supportAdvancedDrill="1" xr:uid="{49181127-B4A4-4B50-9861-48D2A56FF2FE}">
  <cacheSource type="external" connectionId="15"/>
  <cacheFields count="7">
    <cacheField name="[dim_date].[month_label].[month_label]" caption="month_label" numFmtId="0" hierarchy="5" level="1">
      <sharedItems count="6">
        <s v="2026-01"/>
        <s v="2026-02"/>
        <s v="2026-03"/>
        <s v="2026-04"/>
        <s v="2026-05"/>
        <s v="2026-06"/>
      </sharedItems>
    </cacheField>
    <cacheField name="[Measures].[Total Cost]" caption="Total Cost" numFmtId="0" hierarchy="28" level="32767"/>
    <cacheField name="[Measures].[Cost Prev Month]" caption="Cost Prev Month" numFmtId="0" hierarchy="35" level="32767"/>
    <cacheField name="[Measures].[Budget]" caption="Budget" numFmtId="0" hierarchy="32" level="32767"/>
    <cacheField name="[Measures].[% of Budget]" caption="% of Budget" numFmtId="0" hierarchy="34" level="32767"/>
    <cacheField name="[Measures].[MoM %]" caption="MoM %" numFmtId="0" hierarchy="29" level="32767"/>
    <cacheField name="[Measures].[% Untagged]" caption="% Untagged" numFmtId="0" hierarchy="31" level="32767"/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2" memberValueDatatype="130" unbalanced="0">
      <fieldsUsage count="2">
        <fieldUsage x="-1"/>
        <fieldUsage x="0"/>
      </fieldsUsage>
    </cacheHierarchy>
    <cacheHierarchy uniqueName="[dim_team].[team]" caption="team" attribute="1" defaultMemberUniqueName="[dim_team].[team].[All]" allUniqueName="[dim_team].[team].[All]" dimensionUniqueName="[dim_team]" displayFolder="" count="0" memberValueDatatype="130" unbalanced="0"/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1"/>
      </fieldsUsage>
    </cacheHierarchy>
    <cacheHierarchy uniqueName="[Measures].[MoM %]" caption="MoM %" measure="1" displayFolder="" measureGroup="fact_billing" count="0" oneField="1">
      <fieldsUsage count="1">
        <fieldUsage x="5"/>
      </fieldsUsage>
    </cacheHierarchy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 oneField="1">
      <fieldsUsage count="1">
        <fieldUsage x="6"/>
      </fieldsUsage>
    </cacheHierarchy>
    <cacheHierarchy uniqueName="[Measures].[Budget]" caption="Budget" measure="1" displayFolder="" measureGroup="fact_budget" count="0" oneField="1">
      <fieldsUsage count="1">
        <fieldUsage x="3"/>
      </fieldsUsage>
    </cacheHierarchy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 oneField="1">
      <fieldsUsage count="1">
        <fieldUsage x="4"/>
      </fieldsUsage>
    </cacheHierarchy>
    <cacheHierarchy uniqueName="[Measures].[Cost Prev Month]" caption="Cost Prev Month" measure="1" displayFolder="" measureGroup="fact_billing" count="0" oneField="1">
      <fieldsUsage count="1">
        <fieldUsage x="2"/>
      </fieldsUsage>
    </cacheHierarchy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11435532405" createdVersion="5" refreshedVersion="8" minRefreshableVersion="3" recordCount="0" supportSubquery="1" supportAdvancedDrill="1" xr:uid="{86FE20A5-67ED-4F32-B763-60A14FFC3DF4}">
  <cacheSource type="external" connectionId="15"/>
  <cacheFields count="10">
    <cacheField name="[dim_date].[month_label].[month_label]" caption="month_label" numFmtId="0" hierarchy="5" level="1">
      <sharedItems count="6">
        <s v="2026-01"/>
        <s v="2026-02"/>
        <s v="2026-03"/>
        <s v="2026-04"/>
        <s v="2026-05"/>
        <s v="2026-06"/>
      </sharedItems>
    </cacheField>
    <cacheField name="[Measures].[Soma de cost_usd]" caption="Soma de cost_usd" numFmtId="0" hierarchy="26" level="32767"/>
    <cacheField name="[Measures].[Soma de budget_usd]" caption="Soma de budget_usd" numFmtId="0" hierarchy="27" level="32767"/>
    <cacheField name="[dim_team].[team].[team]" caption="team" numFmtId="0" hierarchy="6" level="1">
      <sharedItems count="3">
        <s v="data"/>
        <s v="platform"/>
        <s v="web"/>
      </sharedItems>
    </cacheField>
    <cacheField name="[Measures].[Untagged Cost]" caption="Untagged Cost" numFmtId="0" hierarchy="30" level="32767"/>
    <cacheField name="[Measures].[% Untagged]" caption="% Untagged" numFmtId="0" hierarchy="31" level="32767"/>
    <cacheField name="[Measures].[Budget]" caption="Budget" numFmtId="0" hierarchy="32" level="32767"/>
    <cacheField name="[Measures].[Budget Variance]" caption="Budget Variance" numFmtId="0" hierarchy="33" level="32767"/>
    <cacheField name="[Measures].[% of Budget]" caption="% of Budget" numFmtId="0" hierarchy="34" level="32767"/>
    <cacheField name="[Measures].[Cost Prev Month]" caption="Cost Prev Month" numFmtId="0" hierarchy="35" level="32767"/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2" memberValueDatatype="130" unbalanced="0">
      <fieldsUsage count="2">
        <fieldUsage x="-1"/>
        <fieldUsage x="0"/>
      </fieldsUsage>
    </cacheHierarchy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3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/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 oneField="1">
      <fieldsUsage count="1">
        <fieldUsage x="4"/>
      </fieldsUsage>
    </cacheHierarchy>
    <cacheHierarchy uniqueName="[Measures].[% Untagged]" caption="% Untagged" measure="1" displayFolder="" measureGroup="fact_billing" count="0" oneField="1">
      <fieldsUsage count="1">
        <fieldUsage x="5"/>
      </fieldsUsage>
    </cacheHierarchy>
    <cacheHierarchy uniqueName="[Measures].[Budget]" caption="Budget" measure="1" displayFolder="" measureGroup="fact_budget" count="0" oneField="1">
      <fieldsUsage count="1">
        <fieldUsage x="6"/>
      </fieldsUsage>
    </cacheHierarchy>
    <cacheHierarchy uniqueName="[Measures].[Budget Variance]" caption="Budget Variance" measure="1" displayFolder="" measureGroup="fact_budget" count="0" oneField="1">
      <fieldsUsage count="1">
        <fieldUsage x="7"/>
      </fieldsUsage>
    </cacheHierarchy>
    <cacheHierarchy uniqueName="[Measures].[% of Budget]" caption="% of Budget" measure="1" displayFolder="" measureGroup="fact_budget" count="0" oneField="1">
      <fieldsUsage count="1">
        <fieldUsage x="8"/>
      </fieldsUsage>
    </cacheHierarchy>
    <cacheHierarchy uniqueName="[Measures].[Cost Prev Month]" caption="Cost Prev Month" measure="1" displayFolder="" measureGroup="fact_billing" count="0" oneField="1">
      <fieldsUsage count="1">
        <fieldUsage x="9"/>
      </fieldsUsage>
    </cacheHierarchy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48742939814" createdVersion="5" refreshedVersion="8" minRefreshableVersion="3" recordCount="0" supportSubquery="1" supportAdvancedDrill="1" xr:uid="{A6FDEF99-7A33-44C5-8E11-6197DB851085}">
  <cacheSource type="external" connectionId="15"/>
  <cacheFields count="4">
    <cacheField name="[dim_date].[month_label].[month_label]" caption="month_label" numFmtId="0" hierarchy="5" level="1">
      <sharedItems count="6">
        <s v="2026-01"/>
        <s v="2026-02"/>
        <s v="2026-03"/>
        <s v="2026-04"/>
        <s v="2026-05"/>
        <s v="2026-06"/>
      </sharedItems>
    </cacheField>
    <cacheField name="[Measures].[Total Cost]" caption="Total Cost" numFmtId="0" hierarchy="28" level="32767"/>
    <cacheField name="[Measures].[Budget]" caption="Budget" numFmtId="0" hierarchy="32" level="32767"/>
    <cacheField name="[dim_team].[team].[team]" caption="team" numFmtId="0" hierarchy="6" level="1">
      <sharedItems containsSemiMixedTypes="0" containsNonDate="0" containsString="0"/>
    </cacheField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2" memberValueDatatype="130" unbalanced="0">
      <fieldsUsage count="2">
        <fieldUsage x="-1"/>
        <fieldUsage x="0"/>
      </fieldsUsage>
    </cacheHierarchy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3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1"/>
      </fieldsUsage>
    </cacheHierarchy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 oneField="1">
      <fieldsUsage count="1">
        <fieldUsage x="2"/>
      </fieldsUsage>
    </cacheHierarchy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/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48743402776" createdVersion="5" refreshedVersion="8" minRefreshableVersion="3" recordCount="0" supportSubquery="1" supportAdvancedDrill="1" xr:uid="{5C563304-6769-4252-A9EF-454D840ADEB8}">
  <cacheSource type="external" connectionId="15"/>
  <cacheFields count="4">
    <cacheField name="[dim_team].[team].[team]" caption="team" numFmtId="0" hierarchy="6" level="1">
      <sharedItems count="3">
        <s v="data"/>
        <s v="platform"/>
        <s v="web"/>
      </sharedItems>
    </cacheField>
    <cacheField name="[Measures].[Total Cost]" caption="Total Cost" numFmtId="0" hierarchy="28" level="32767"/>
    <cacheField name="[Measures].[Budget]" caption="Budget" numFmtId="0" hierarchy="32" level="32767"/>
    <cacheField name="[Measures].[% of Budget]" caption="% of Budget" numFmtId="0" hierarchy="34" level="32767"/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0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1"/>
      </fieldsUsage>
    </cacheHierarchy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 oneField="1">
      <fieldsUsage count="1">
        <fieldUsage x="2"/>
      </fieldsUsage>
    </cacheHierarchy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 oneField="1">
      <fieldsUsage count="1">
        <fieldUsage x="3"/>
      </fieldsUsage>
    </cacheHierarchy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48743749999" createdVersion="5" refreshedVersion="8" minRefreshableVersion="3" recordCount="0" supportSubquery="1" supportAdvancedDrill="1" xr:uid="{4CE46649-F554-49FA-9C32-DB5725EC340F}">
  <cacheSource type="external" connectionId="15"/>
  <cacheFields count="3">
    <cacheField name="[fact_billing].[service].[service]" caption="service" numFmtId="0" hierarchy="11" level="1">
      <sharedItems count="6">
        <s v="AmazonCloudFront"/>
        <s v="AmazonDynamoDB"/>
        <s v="AmazonEC2"/>
        <s v="AmazonRDS"/>
        <s v="AmazonS3"/>
        <s v="AWSLambda"/>
      </sharedItems>
    </cacheField>
    <cacheField name="[Measures].[Total Cost]" caption="Total Cost" numFmtId="0" hierarchy="28" level="32767"/>
    <cacheField name="[dim_team].[team].[team]" caption="team" numFmtId="0" hierarchy="6" level="1">
      <sharedItems containsSemiMixedTypes="0" containsNonDate="0" containsString="0"/>
    </cacheField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2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2" memberValueDatatype="130" unbalanced="0">
      <fieldsUsage count="2">
        <fieldUsage x="-1"/>
        <fieldUsage x="0"/>
      </fieldsUsage>
    </cacheHierarchy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1"/>
      </fieldsUsage>
    </cacheHierarchy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/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/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48744212961" createdVersion="5" refreshedVersion="8" minRefreshableVersion="3" recordCount="0" supportSubquery="1" supportAdvancedDrill="1" xr:uid="{27CF854F-9B6F-4B8B-86C1-27126593DB08}">
  <cacheSource type="external" connectionId="15"/>
  <cacheFields count="7">
    <cacheField name="[Measures].[Total Cost]" caption="Total Cost" numFmtId="0" hierarchy="28" level="32767"/>
    <cacheField name="[Measures].[% of Budget]" caption="% of Budget" numFmtId="0" hierarchy="34" level="32767"/>
    <cacheField name="[Measures].[MoM %]" caption="MoM %" numFmtId="0" hierarchy="29" level="32767"/>
    <cacheField name="[Measures].[% Untagged]" caption="% Untagged" numFmtId="0" hierarchy="31" level="32767"/>
    <cacheField name="[Measures].[Untagged Cost]" caption="Untagged Cost" numFmtId="0" hierarchy="30" level="32767"/>
    <cacheField name="[Measures].[Teams Over Budget]" caption="Teams Over Budget" numFmtId="0" hierarchy="36" level="32767"/>
    <cacheField name="[dim_team].[team].[team]" caption="team" numFmtId="0" hierarchy="6" level="1">
      <sharedItems containsSemiMixedTypes="0" containsNonDate="0" containsString="0"/>
    </cacheField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6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0"/>
      </fieldsUsage>
    </cacheHierarchy>
    <cacheHierarchy uniqueName="[Measures].[MoM %]" caption="MoM %" measure="1" displayFolder="" measureGroup="fact_billing" count="0" oneField="1">
      <fieldsUsage count="1">
        <fieldUsage x="2"/>
      </fieldsUsage>
    </cacheHierarchy>
    <cacheHierarchy uniqueName="[Measures].[Untagged Cost]" caption="Untagged Cost" measure="1" displayFolder="" measureGroup="fact_billing" count="0" oneField="1">
      <fieldsUsage count="1">
        <fieldUsage x="4"/>
      </fieldsUsage>
    </cacheHierarchy>
    <cacheHierarchy uniqueName="[Measures].[% Untagged]" caption="% Untagged" measure="1" displayFolder="" measureGroup="fact_billing" count="0" oneField="1">
      <fieldsUsage count="1">
        <fieldUsage x="3"/>
      </fieldsUsage>
    </cacheHierarchy>
    <cacheHierarchy uniqueName="[Measures].[Budget]" caption="Budget" measure="1" displayFolder="" measureGroup="fact_budget" count="0"/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 oneField="1">
      <fieldsUsage count="1">
        <fieldUsage x="1"/>
      </fieldsUsage>
    </cacheHierarchy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 oneField="1">
      <fieldsUsage count="1">
        <fieldUsage x="5"/>
      </fieldsUsage>
    </cacheHierarchy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48744560184" createdVersion="5" refreshedVersion="8" minRefreshableVersion="3" recordCount="0" supportSubquery="1" supportAdvancedDrill="1" xr:uid="{5CC5B076-D704-4878-9379-A4B71B8C8F8D}">
  <cacheSource type="external" connectionId="15"/>
  <cacheFields count="3">
    <cacheField name="[dim_team].[team].[team]" caption="team" numFmtId="0" hierarchy="6" level="1">
      <sharedItems count="3">
        <s v="data"/>
        <s v="platform"/>
        <s v="web"/>
      </sharedItems>
    </cacheField>
    <cacheField name="[Measures].[Total Cost]" caption="Total Cost" numFmtId="0" hierarchy="28" level="32767"/>
    <cacheField name="[Measures].[Budget]" caption="Budget" numFmtId="0" hierarchy="32" level="32767"/>
  </cacheFields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2" memberValueDatatype="130" unbalanced="0">
      <fieldsUsage count="2">
        <fieldUsage x="-1"/>
        <fieldUsage x="0"/>
      </fieldsUsage>
    </cacheHierarchy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 oneField="1">
      <fieldsUsage count="1">
        <fieldUsage x="1"/>
      </fieldsUsage>
    </cacheHierarchy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 oneField="1">
      <fieldsUsage count="1">
        <fieldUsage x="2"/>
      </fieldsUsage>
    </cacheHierarchy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/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dimensions count="5">
    <dimension name="dim_date" uniqueName="[dim_date]" caption="dim_date"/>
    <dimension name="dim_team" uniqueName="[dim_team]" caption="dim_team"/>
    <dimension name="fact_billing" uniqueName="[fact_billing]" caption="fact_billing"/>
    <dimension name="fact_budget" uniqueName="[fact_budget]" caption="fact_budget"/>
    <dimension measure="1" name="Measures" uniqueName="[Measures]" caption="Measures"/>
  </dimensions>
  <measureGroups count="4">
    <measureGroup name="dim_date" caption="dim_date"/>
    <measureGroup name="dim_team" caption="dim_team"/>
    <measureGroup name="fact_billing" caption="fact_billing"/>
    <measureGroup name="fact_budget" caption="fact_budget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11423958336" createdVersion="3" refreshedVersion="8" minRefreshableVersion="3" recordCount="0" supportSubquery="1" supportAdvancedDrill="1" xr:uid="{CCFB5566-616C-44C6-9768-9FEA71975A27}">
  <cacheSource type="external" connectionId="1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2" memberValueDatatype="130" unbalanced="0"/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/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/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/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55174745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tor" refreshedDate="46308.4114275463" createdVersion="3" refreshedVersion="8" minRefreshableVersion="3" recordCount="0" supportSubquery="1" supportAdvancedDrill="1" xr:uid="{450F06AE-CCC3-47E9-B3B7-F08480523736}">
  <cacheSource type="external" connectionId="1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dim_date].[date]" caption="date" attribute="1" time="1" defaultMemberUniqueName="[dim_date].[date].[All]" allUniqueName="[dim_date].[date].[All]" dimensionUniqueName="[dim_date]" displayFolder="" count="2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_num]" caption="month_num" attribute="1" defaultMemberUniqueName="[dim_date].[month_num].[All]" allUniqueName="[dim_date].[month_num].[All]" dimensionUniqueName="[dim_date]" displayFolder="" count="0" memberValueDatatype="20" unbalanced="0"/>
    <cacheHierarchy uniqueName="[dim_date].[month_key]" caption="month_key" attribute="1" defaultMemberUniqueName="[dim_date].[month_key].[All]" allUniqueName="[dim_date].[month_key].[All]" dimensionUniqueName="[dim_date]" displayFolder="" count="0" memberValueDatatype="20" unbalanced="0"/>
    <cacheHierarchy uniqueName="[dim_date].[month_start]" caption="month_start" attribute="1" time="1" defaultMemberUniqueName="[dim_date].[month_start].[All]" allUniqueName="[dim_date].[month_start].[All]" dimensionUniqueName="[dim_date]" displayFolder="" count="0" memberValueDatatype="7" unbalanced="0"/>
    <cacheHierarchy uniqueName="[dim_date].[month_label]" caption="month_label" attribute="1" defaultMemberUniqueName="[dim_date].[month_label].[All]" allUniqueName="[dim_date].[month_label].[All]" dimensionUniqueName="[dim_date]" displayFolder="" count="0" memberValueDatatype="130" unbalanced="0"/>
    <cacheHierarchy uniqueName="[dim_team].[team]" caption="team" attribute="1" defaultMemberUniqueName="[dim_team].[team].[All]" allUniqueName="[dim_team].[team].[All]" dimensionUniqueName="[dim_team]" displayFolder="" count="0" memberValueDatatype="130" unbalanced="0"/>
    <cacheHierarchy uniqueName="[fact_billing].[Nome da Origem]" caption="Nome da Origem" attribute="1" defaultMemberUniqueName="[fact_billing].[Nome da Origem].[All]" allUniqueName="[fact_billing].[Nome da Origem].[All]" dimensionUniqueName="[fact_billing]" displayFolder="" count="0" memberValueDatatype="130" unbalanced="0"/>
    <cacheHierarchy uniqueName="[fact_billing].[usage_date]" caption="usage_date" attribute="1" time="1" defaultMemberUniqueName="[fact_billing].[usage_date].[All]" allUniqueName="[fact_billing].[usage_date].[All]" dimensionUniqueName="[fact_billing]" displayFolder="" count="0" memberValueDatatype="7" unbalanced="0"/>
    <cacheHierarchy uniqueName="[fact_billing].[account_id]" caption="account_id" attribute="1" defaultMemberUniqueName="[fact_billing].[account_id].[All]" allUniqueName="[fact_billing].[account_id].[All]" dimensionUniqueName="[fact_billing]" displayFolder="" count="0" memberValueDatatype="130" unbalanced="0"/>
    <cacheHierarchy uniqueName="[fact_billing].[account_name]" caption="account_name" attribute="1" defaultMemberUniqueName="[fact_billing].[account_name].[All]" allUniqueName="[fact_billing].[account_name].[All]" dimensionUniqueName="[fact_billing]" displayFolder="" count="0" memberValueDatatype="130" unbalanced="0"/>
    <cacheHierarchy uniqueName="[fact_billing].[service]" caption="service" attribute="1" defaultMemberUniqueName="[fact_billing].[service].[All]" allUniqueName="[fact_billing].[service].[All]" dimensionUniqueName="[fact_billing]" displayFolder="" count="0" memberValueDatatype="130" unbalanced="0"/>
    <cacheHierarchy uniqueName="[fact_billing].[region]" caption="region" attribute="1" defaultMemberUniqueName="[fact_billing].[region].[All]" allUniqueName="[fact_billing].[region].[All]" dimensionUniqueName="[fact_billing]" displayFolder="" count="0" memberValueDatatype="130" unbalanced="0"/>
    <cacheHierarchy uniqueName="[fact_billing].[resource_id]" caption="resource_id" attribute="1" defaultMemberUniqueName="[fact_billing].[resource_id].[All]" allUniqueName="[fact_billing].[resource_id].[All]" dimensionUniqueName="[fact_billing]" displayFolder="" count="0" memberValueDatatype="130" unbalanced="0"/>
    <cacheHierarchy uniqueName="[fact_billing].[usage_amount]" caption="usage_amount" attribute="1" defaultMemberUniqueName="[fact_billing].[usage_amount].[All]" allUniqueName="[fact_billing].[usage_amount].[All]" dimensionUniqueName="[fact_billing]" displayFolder="" count="0" memberValueDatatype="5" unbalanced="0"/>
    <cacheHierarchy uniqueName="[fact_billing].[usage_unit]" caption="usage_unit" attribute="1" defaultMemberUniqueName="[fact_billing].[usage_unit].[All]" allUniqueName="[fact_billing].[usage_unit].[All]" dimensionUniqueName="[fact_billing]" displayFolder="" count="0" memberValueDatatype="130" unbalanced="0"/>
    <cacheHierarchy uniqueName="[fact_billing].[cost_usd]" caption="cost_usd" attribute="1" defaultMemberUniqueName="[fact_billing].[cost_usd].[All]" allUniqueName="[fact_billing].[cost_usd].[All]" dimensionUniqueName="[fact_billing]" displayFolder="" count="0" memberValueDatatype="5" unbalanced="0"/>
    <cacheHierarchy uniqueName="[fact_billing].[tag_team]" caption="tag_team" attribute="1" defaultMemberUniqueName="[fact_billing].[tag_team].[All]" allUniqueName="[fact_billing].[tag_team].[All]" dimensionUniqueName="[fact_billing]" displayFolder="" count="0" memberValueDatatype="130" unbalanced="0"/>
    <cacheHierarchy uniqueName="[fact_billing].[tag_environment]" caption="tag_environment" attribute="1" defaultMemberUniqueName="[fact_billing].[tag_environment].[All]" allUniqueName="[fact_billing].[tag_environment].[All]" dimensionUniqueName="[fact_billing]" displayFolder="" count="0" memberValueDatatype="130" unbalanced="0"/>
    <cacheHierarchy uniqueName="[fact_billing].[default_team]" caption="default_team" attribute="1" defaultMemberUniqueName="[fact_billing].[default_team].[All]" allUniqueName="[fact_billing].[default_team].[All]" dimensionUniqueName="[fact_billing]" displayFolder="" count="0" memberValueDatatype="130" unbalanced="0"/>
    <cacheHierarchy uniqueName="[fact_billing].[team]" caption="team" attribute="1" defaultMemberUniqueName="[fact_billing].[team].[All]" allUniqueName="[fact_billing].[team].[All]" dimensionUniqueName="[fact_billing]" displayFolder="" count="0" memberValueDatatype="130" unbalanced="0"/>
    <cacheHierarchy uniqueName="[fact_billing].[allocation]" caption="allocation" attribute="1" defaultMemberUniqueName="[fact_billing].[allocation].[All]" allUniqueName="[fact_billing].[allocation].[All]" dimensionUniqueName="[fact_billing]" displayFolder="" count="0" memberValueDatatype="130" unbalanced="0"/>
    <cacheHierarchy uniqueName="[fact_budget].[month]" caption="month" attribute="1" defaultMemberUniqueName="[fact_budget].[month].[All]" allUniqueName="[fact_budget].[month].[All]" dimensionUniqueName="[fact_budget]" displayFolder="" count="0" memberValueDatatype="130" unbalanced="0"/>
    <cacheHierarchy uniqueName="[fact_budget].[team]" caption="team" attribute="1" defaultMemberUniqueName="[fact_budget].[team].[All]" allUniqueName="[fact_budget].[team].[All]" dimensionUniqueName="[fact_budget]" displayFolder="" count="0" memberValueDatatype="130" unbalanced="0"/>
    <cacheHierarchy uniqueName="[fact_budget].[budget_usd]" caption="budget_usd" attribute="1" defaultMemberUniqueName="[fact_budget].[budget_usd].[All]" allUniqueName="[fact_budget].[budget_usd].[All]" dimensionUniqueName="[fact_budget]" displayFolder="" count="0" memberValueDatatype="5" unbalanced="0"/>
    <cacheHierarchy uniqueName="[fact_budget].[month_start]" caption="month_start" attribute="1" time="1" defaultMemberUniqueName="[fact_budget].[month_start].[All]" allUniqueName="[fact_budget].[month_start].[All]" dimensionUniqueName="[fact_budget]" displayFolder="" count="0" memberValueDatatype="7" unbalanced="0"/>
    <cacheHierarchy uniqueName="[Measures].[Soma de cost_usd]" caption="Soma de cost_usd" measure="1" displayFolder="" measureGroup="fact_billing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budget_usd]" caption="Soma de budget_usd" measure="1" displayFolder="" measureGroup="fact_budge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Cost]" caption="Total Cost" measure="1" displayFolder="" measureGroup="fact_billing" count="0"/>
    <cacheHierarchy uniqueName="[Measures].[MoM %]" caption="MoM %" measure="1" displayFolder="" measureGroup="fact_billing" count="0"/>
    <cacheHierarchy uniqueName="[Measures].[Untagged Cost]" caption="Untagged Cost" measure="1" displayFolder="" measureGroup="fact_billing" count="0"/>
    <cacheHierarchy uniqueName="[Measures].[% Untagged]" caption="% Untagged" measure="1" displayFolder="" measureGroup="fact_billing" count="0"/>
    <cacheHierarchy uniqueName="[Measures].[Budget]" caption="Budget" measure="1" displayFolder="" measureGroup="fact_budget" count="0"/>
    <cacheHierarchy uniqueName="[Measures].[Budget Variance]" caption="Budget Variance" measure="1" displayFolder="" measureGroup="fact_budget" count="0"/>
    <cacheHierarchy uniqueName="[Measures].[% of Budget]" caption="% of Budget" measure="1" displayFolder="" measureGroup="fact_budget" count="0"/>
    <cacheHierarchy uniqueName="[Measures].[Cost Prev Month]" caption="Cost Prev Month" measure="1" displayFolder="" measureGroup="fact_billing" count="0"/>
    <cacheHierarchy uniqueName="[Measures].[Teams Over Budget]" caption="Teams Over Budget" measure="1" displayFolder="" measureGroup="fact_budget" count="0"/>
    <cacheHierarchy uniqueName="[Measures].[__XL_Count fact_billing]" caption="__XL_Count fact_billing" measure="1" displayFolder="" measureGroup="fact_billing" count="0" hidden="1"/>
    <cacheHierarchy uniqueName="[Measures].[__XL_Count fact_budget]" caption="__XL_Count fact_budget" measure="1" displayFolder="" measureGroup="fact_budget" count="0" hidden="1"/>
    <cacheHierarchy uniqueName="[Measures].[__XL_Count dim_date]" caption="__XL_Count dim_date" measure="1" displayFolder="" measureGroup="dim_date" count="0" hidden="1"/>
    <cacheHierarchy uniqueName="[Measures].[__XL_Count dim_team]" caption="__XL_Count dim_team" measure="1" displayFolder="" measureGroup="dim_team" count="0" hidden="1"/>
    <cacheHierarchy uniqueName="[Measures].[__Não há medidas definidas]" caption="__Não há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96253959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8C092-294A-452E-8856-3CECC09446D0}" name="Tabela dinâmica4" cacheId="268" applyNumberFormats="0" applyBorderFormats="0" applyFontFormats="0" applyPatternFormats="0" applyAlignmentFormats="0" applyWidthHeightFormats="1" dataCaption="Valores" tag="1dc39a82-380f-4356-8afd-9f2fa466cf0f" updatedVersion="8" minRefreshableVersion="5" useAutoFormatting="1" subtotalHiddenItems="1" itemPrintTitles="1" createdVersion="5" indent="0" outline="1" outlineData="1" multipleFieldFilters="0">
  <location ref="N3:S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illing]"/>
        <x15:activeTabTopLevelEntity name="[fact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DAC8F-7C95-4B35-9234-2268798F3E93}" name="Tabela dinâmica3" cacheId="265" applyNumberFormats="0" applyBorderFormats="0" applyFontFormats="0" applyPatternFormats="0" applyAlignmentFormats="0" applyWidthHeightFormats="1" dataCaption="Valores" tag="09eb0368-5c5a-417c-abd4-87d4a3bd65af" updatedVersion="8" minRefreshableVersion="5" useAutoFormatting="1" itemPrintTitles="1" createdVersion="5" indent="0" outline="1" outlineData="1" multipleFieldFilters="0" chartFormat="4">
  <location ref="J3:K10" firstHeaderRow="1" firstDataRow="1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 v="2"/>
    </i>
    <i>
      <x v="3"/>
    </i>
    <i>
      <x/>
    </i>
    <i>
      <x v="1"/>
    </i>
    <i>
      <x v="5"/>
    </i>
    <i>
      <x v="4"/>
    </i>
    <i t="grand">
      <x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ill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75A3D-712B-4B54-A7FD-6276DB6727A2}" name="Tabela dinâmica2" cacheId="262" applyNumberFormats="0" applyBorderFormats="0" applyFontFormats="0" applyPatternFormats="0" applyAlignmentFormats="0" applyWidthHeightFormats="1" dataCaption="Valores" tag="937cebdc-35e8-445c-b7dd-ceabea12a9a5" updatedVersion="8" minRefreshableVersion="5" useAutoFormatting="1" itemPrintTitles="1" createdVersion="5" indent="0" outline="1" outlineData="1" multipleFieldFilters="0">
  <location ref="E3:H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eam]"/>
        <x15:activeTabTopLevelEntity name="[fact_billing]"/>
        <x15:activeTabTopLevelEntity name="[fact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F4E18-4DF2-40E8-9E6C-550E0A9CC38D}" name="Tabela dinâmica1" cacheId="259" applyNumberFormats="0" applyBorderFormats="0" applyFontFormats="0" applyPatternFormats="0" applyAlignmentFormats="0" applyWidthHeightFormats="1" dataCaption="Valores" tag="790d4c0b-7273-4fb8-b6c7-3e3ebd4b3f58" updatedVersion="8" minRefreshableVersion="5" useAutoFormatting="1" itemPrintTitles="1" createdVersion="5" indent="0" outline="1" outlineData="1" multipleFieldFilters="0" chartFormat="3">
  <location ref="A3:C10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billing]"/>
        <x15:activeTabTopLevelEntity name="[fact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B15FC-69C0-420D-8940-AAB2C85F9BCB}" name="Tabela dinâmica5" cacheId="271" applyNumberFormats="0" applyBorderFormats="0" applyFontFormats="0" applyPatternFormats="0" applyAlignmentFormats="0" applyWidthHeightFormats="1" dataCaption="Valores" tag="1b7c430f-bcb7-4b7f-9e26-7945438f9627" updatedVersion="8" minRefreshableVersion="5" useAutoFormatting="1" itemPrintTitles="1" createdVersion="5" indent="0" outline="1" outlineData="1" multipleFieldFilters="0" chartFormat="3">
  <location ref="E12:G1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eam]"/>
        <x15:activeTabTopLevelEntity name="[fact_billing]"/>
        <x15:activeTabTopLevelEntity name="[fact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DADF3-EB16-4029-8B5F-10EEFB7F345D}" name="Tabela dinâmica1" cacheId="31" applyNumberFormats="0" applyBorderFormats="0" applyFontFormats="0" applyPatternFormats="0" applyAlignmentFormats="0" applyWidthHeightFormats="1" dataCaption="Valores" tag="9440b840-c59e-46d9-914a-efa98b44e9c2" updatedVersion="8" minRefreshableVersion="3" useAutoFormatting="1" itemPrintTitles="1" createdVersion="5" indent="0" outline="1" outlineData="1" multipleFieldFilters="0">
  <location ref="A1:I26" firstHeaderRow="0" firstDataRow="1" firstDataCol="1"/>
  <pivotFields count="10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3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a de cost_usd" fld="1" baseField="0" baseItem="0"/>
    <dataField name="Soma de budget_usd" fld="2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billing]"/>
        <x15:activeTabTopLevelEntity name="[fact_budget]"/>
        <x15:activeTabTopLevelEntity name="[dim_tea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1CA77-2F52-497B-B146-8EA8467573E3}" name="Tabela dinâmica1" cacheId="28" applyNumberFormats="0" applyBorderFormats="0" applyFontFormats="0" applyPatternFormats="0" applyAlignmentFormats="0" applyWidthHeightFormats="1" dataCaption="Valores" tag="dd1bcedf-844f-4eb2-83be-674140b30f4a" updatedVersion="8" minRefreshableVersion="3" useAutoFormatting="1" itemPrintTitles="1" createdVersion="5" indent="0" outline="1" outlineData="1" multipleFieldFilters="0">
  <location ref="A1:G8" firstHeaderRow="0" firstDataRow="1" firstDataCol="1"/>
  <pivotFields count="7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billing]"/>
        <x15:activeTabTopLevelEntity name="[fact_budget]"/>
        <x15:activeTabTopLevelEntity name="[dim_tea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1D3A636E-6FF6-4573-8C6A-E6688FF4CB7A}" autoFormatId="16" applyNumberFormats="0" applyBorderFormats="0" applyFontFormats="0" applyPatternFormats="0" applyAlignmentFormats="0" applyWidthHeightFormats="0">
  <queryTableRefresh nextId="6">
    <queryTableFields count="5">
      <queryTableField id="1" name="month_start" tableColumnId="1"/>
      <queryTableField id="2" name="team" tableColumnId="2"/>
      <queryTableField id="3" name="service" tableColumnId="3"/>
      <queryTableField id="4" name="allocation" tableColumnId="4"/>
      <queryTableField id="5" name="cost_us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8" xr16:uid="{C0D36315-A5A4-48A1-BB4A-65B6324C4E9B}" autoFormatId="16" applyNumberFormats="0" applyBorderFormats="0" applyFontFormats="0" applyPatternFormats="0" applyAlignmentFormats="0" applyWidthHeightFormats="0">
  <queryTableRefresh nextId="4">
    <queryTableFields count="3">
      <queryTableField id="1" name="month_start" tableColumnId="1"/>
      <queryTableField id="2" name="team" tableColumnId="2"/>
      <queryTableField id="3" name="budget_us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2" xr16:uid="{85AC4982-876E-4805-A1FB-825FC490F336}" autoFormatId="16" applyNumberFormats="0" applyBorderFormats="0" applyFontFormats="0" applyPatternFormats="0" applyAlignmentFormats="0" applyWidthHeightFormats="0">
  <queryTableRefresh nextId="2">
    <queryTableFields count="1">
      <queryTableField id="1" name="team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9" xr16:uid="{5ADFEF9D-CF3B-4B9C-95B5-A858998CA6B0}" autoFormatId="16" applyNumberFormats="0" applyBorderFormats="0" applyFontFormats="0" applyPatternFormats="0" applyAlignmentFormats="0" applyWidthHeightFormats="0">
  <queryTableRefresh nextId="2">
    <queryTableFields count="1">
      <queryTableField id="1" name="month_start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1" xr16:uid="{C7A4293D-F06A-4455-8F45-BC1F18B1F6AF}" autoFormatId="16" applyNumberFormats="0" applyBorderFormats="0" applyFontFormats="0" applyPatternFormats="0" applyAlignmentFormats="0" applyWidthHeightFormats="0">
  <queryTableRefresh nextId="8">
    <queryTableFields count="7">
      <queryTableField id="1" name="resource_id" tableColumnId="1"/>
      <queryTableField id="2" name="service" tableColumnId="2"/>
      <queryTableField id="3" name="team" tableColumnId="3"/>
      <queryTableField id="4" name="account_name" tableColumnId="4"/>
      <queryTableField id="5" name="tag_environment" tableColumnId="5"/>
      <queryTableField id="6" name="cost_usd" tableColumnId="6"/>
      <queryTableField id="7" name="first_seen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202D411-CD62-48E6-830A-2626C1CCA312}" autoFormatId="16" applyNumberFormats="0" applyBorderFormats="0" applyFontFormats="0" applyPatternFormats="0" applyAlignmentFormats="0" applyWidthHeightFormats="0">
  <queryTableRefresh nextId="4">
    <queryTableFields count="3">
      <queryTableField id="1" name="account_id" tableColumnId="1"/>
      <queryTableField id="2" name="account_name" tableColumnId="2"/>
      <queryTableField id="3" name="default_team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eam" xr10:uid="{80DE7FD3-606C-4C03-91AC-3A9C6FA88788}" sourceName="[dim_team].[team]">
  <pivotTables>
    <pivotTable tabId="19" name="Tabela dinâmica1"/>
    <pivotTable tabId="19" name="Tabela dinâmica2"/>
    <pivotTable tabId="19" name="Tabela dinâmica3"/>
    <pivotTable tabId="19" name="Tabela dinâmica4"/>
    <pivotTable tabId="19" name="Tabela dinâmica5"/>
  </pivotTables>
  <data>
    <olap pivotCacheId="55174745">
      <levels count="2">
        <level uniqueName="[dim_team].[team].[(All)]" sourceCaption="(All)" count="0"/>
        <level uniqueName="[dim_team].[team].[team]" sourceCaption="team" count="3">
          <ranges>
            <range startItem="0">
              <i n="[dim_team].[team].&amp;[data]" c="data"/>
              <i n="[dim_team].[team].&amp;[platform]" c="platform"/>
              <i n="[dim_team].[team].&amp;[web]" c="web"/>
            </range>
          </ranges>
        </level>
      </levels>
      <selections count="1">
        <selection n="[dim_team].[team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" xr10:uid="{4D200D3E-A796-400E-9346-A62E37BFA305}" cache="SegmentaçãodeDados_team" caption="Team" columnCount="3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8D66C-D866-4CBB-8E05-E3F580C03A07}" name="tbl_monthly" displayName="tbl_monthly" ref="A1:E115" tableType="queryTable" totalsRowShown="0">
  <autoFilter ref="A1:E115" xr:uid="{5C48D66C-D866-4CBB-8E05-E3F580C03A07}"/>
  <tableColumns count="5">
    <tableColumn id="1" xr3:uid="{287C286F-E8ED-4BB6-B6F6-72537A9434A1}" uniqueName="1" name="month_start" queryTableFieldId="1" dataDxfId="3"/>
    <tableColumn id="2" xr3:uid="{6D36D779-CCE4-4565-9E32-CF68905BA822}" uniqueName="2" name="team" queryTableFieldId="2" dataDxfId="20"/>
    <tableColumn id="3" xr3:uid="{6CABF1E9-899B-4AB0-A4DF-3ABBB54AE952}" uniqueName="3" name="service" queryTableFieldId="3" dataDxfId="19"/>
    <tableColumn id="4" xr3:uid="{C294EEB7-DCE8-4E6E-9C1C-166BFFCEEF0B}" uniqueName="4" name="allocation" queryTableFieldId="4" dataDxfId="18"/>
    <tableColumn id="5" xr3:uid="{F0AC2D9F-4209-4B7B-B80D-2DEBEB718D6F}" uniqueName="5" name="cost_us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E1FB9-B277-4908-B21A-E32528BC6C69}" name="tbl_budget" displayName="tbl_budget" ref="A1:C19" tableType="queryTable" totalsRowShown="0">
  <autoFilter ref="A1:C19" xr:uid="{A34E1FB9-B277-4908-B21A-E32528BC6C69}"/>
  <tableColumns count="3">
    <tableColumn id="1" xr3:uid="{215030D8-3D7A-4742-A8CF-48F8A6475977}" uniqueName="1" name="month_start" queryTableFieldId="1" dataDxfId="2"/>
    <tableColumn id="2" xr3:uid="{935095D0-9065-4689-BA32-71CCB9EF6510}" uniqueName="2" name="team" queryTableFieldId="2" dataDxfId="17"/>
    <tableColumn id="3" xr3:uid="{36BA6233-A918-47BC-92C5-006AB5323D55}" uniqueName="3" name="budget_us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4DDBBA-570A-49FC-B35C-828A8E3DF056}" name="tbl_team" displayName="tbl_team" ref="A1:A4" tableType="queryTable" totalsRowShown="0">
  <autoFilter ref="A1:A4" xr:uid="{CB4DDBBA-570A-49FC-B35C-828A8E3DF056}"/>
  <tableColumns count="1">
    <tableColumn id="1" xr3:uid="{1A7497B3-09F4-4A4D-ACFE-F8D283DF2393}" uniqueName="1" name="team" queryTableFieldId="1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B370A4-EC30-497A-A716-A5AD3B823D9D}" name="tbl_month" displayName="tbl_month" ref="A1:A7" tableType="queryTable" totalsRowShown="0">
  <autoFilter ref="A1:A7" xr:uid="{D8B370A4-EC30-497A-A716-A5AD3B823D9D}"/>
  <tableColumns count="1">
    <tableColumn id="1" xr3:uid="{3F213B1C-3FA2-4B3A-A602-0E6B605320F3}" uniqueName="1" name="month_start" queryTableFieldId="1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BFB3C-54D7-4880-BA66-A5F9ECAE6909}" name="tbl_resources" displayName="tbl_resources" ref="A1:G56" tableType="queryTable" totalsRowShown="0">
  <autoFilter ref="A1:G56" xr:uid="{BB1BFB3C-54D7-4880-BA66-A5F9ECAE6909}"/>
  <tableColumns count="7">
    <tableColumn id="1" xr3:uid="{3929CC41-7E16-4902-88A9-8E7B191CAD90}" uniqueName="1" name="resource_id" queryTableFieldId="1" dataDxfId="15"/>
    <tableColumn id="2" xr3:uid="{FF30A0BA-D37F-42B9-99B4-ADBFA3DAB7CD}" uniqueName="2" name="service" queryTableFieldId="2" dataDxfId="14"/>
    <tableColumn id="3" xr3:uid="{AD331CD7-9004-4750-B3E8-3F09DBC90453}" uniqueName="3" name="team" queryTableFieldId="3" dataDxfId="13"/>
    <tableColumn id="4" xr3:uid="{F6AEA378-7E6C-4939-AFE1-6802D80BE0B0}" uniqueName="4" name="account_name" queryTableFieldId="4" dataDxfId="12"/>
    <tableColumn id="5" xr3:uid="{B5030A71-AB71-4A11-B744-E70FA009D250}" uniqueName="5" name="tag_environment" queryTableFieldId="5" dataDxfId="11"/>
    <tableColumn id="6" xr3:uid="{57711A8B-6695-473E-B84D-4428B5A5B6EE}" uniqueName="6" name="cost_usd" queryTableFieldId="6"/>
    <tableColumn id="7" xr3:uid="{7F843EF5-2A82-4339-B064-220326ADA361}" uniqueName="7" name="first_seen" queryTableFieldId="7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00D03B-BCA8-4752-B799-E73515E8DC61}" name="dim_account" displayName="dim_account" ref="A1:C5" tableType="queryTable" totalsRowShown="0">
  <autoFilter ref="A1:C5" xr:uid="{B500D03B-BCA8-4752-B799-E73515E8DC61}"/>
  <tableColumns count="3">
    <tableColumn id="1" xr3:uid="{C922C39F-32E4-416E-BABE-E0146A471967}" uniqueName="1" name="account_id" queryTableFieldId="1" dataDxfId="10"/>
    <tableColumn id="2" xr3:uid="{7B8ADA04-3947-4D8A-B84F-7BEE0913B8B1}" uniqueName="2" name="account_name" queryTableFieldId="2" dataDxfId="9"/>
    <tableColumn id="3" xr3:uid="{6D5C04D9-B0C7-43F7-A29C-ABEAA5305CA4}" uniqueName="3" name="default_team" queryTableFieldId="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A2978339-C450-49EF-B94E-9C7385DECE1F}" sourceName="[dim_date].[date]">
  <pivotTables>
    <pivotTable tabId="19" name="Tabela dinâmica1"/>
    <pivotTable tabId="19" name="Tabela dinâmica2"/>
    <pivotTable tabId="19" name="Tabela dinâmica3"/>
    <pivotTable tabId="19" name="Tabela dinâmica4"/>
    <pivotTable tabId="19" name="Tabela dinâmica5"/>
  </pivotTables>
  <state minimalRefreshVersion="6" lastRefreshVersion="6" pivotCacheId="96253959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429F11B2-31AD-4228-A42F-C632003C2EE0}" cache="Timeline_date" caption="Period" showSelectionLabel="0" showTimeLevel="0" showHorizontalScrollbar="0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1B84-011B-4EE9-A8A2-80BF48CC3805}">
  <sheetPr>
    <pageSetUpPr fitToPage="1"/>
  </sheetPr>
  <dimension ref="A1:M6"/>
  <sheetViews>
    <sheetView showGridLines="0" tabSelected="1" zoomScale="80" zoomScaleNormal="80" workbookViewId="0">
      <selection activeCell="N1" sqref="N1"/>
    </sheetView>
  </sheetViews>
  <sheetFormatPr defaultRowHeight="15" x14ac:dyDescent="0.25"/>
  <cols>
    <col min="1" max="1" width="2.7109375" customWidth="1"/>
    <col min="2" max="12" width="14.7109375" customWidth="1"/>
  </cols>
  <sheetData>
    <row r="1" spans="1:13" ht="36" customHeight="1" x14ac:dyDescent="0.25">
      <c r="A1" s="10"/>
      <c r="B1" s="11" t="s">
        <v>124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 x14ac:dyDescent="0.25">
      <c r="A2" s="10"/>
      <c r="B2" s="12" t="s">
        <v>125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1.95" customHeight="1" x14ac:dyDescent="0.25">
      <c r="B3" s="13" t="s">
        <v>107</v>
      </c>
      <c r="C3" s="14"/>
      <c r="D3" s="13" t="s">
        <v>108</v>
      </c>
      <c r="E3" s="14"/>
      <c r="F3" s="13" t="s">
        <v>23</v>
      </c>
      <c r="G3" s="14"/>
      <c r="H3" s="13" t="s">
        <v>109</v>
      </c>
      <c r="I3" s="14"/>
      <c r="J3" s="13" t="s">
        <v>110</v>
      </c>
      <c r="K3" s="14"/>
    </row>
    <row r="4" spans="1:13" ht="33.950000000000003" customHeight="1" x14ac:dyDescent="0.25">
      <c r="B4" s="30">
        <f>IFERROR(GETPIVOTDATA("[Measures].[Total Cost]",calc!$N$3),"—")</f>
        <v>125664.0827</v>
      </c>
      <c r="C4" s="31"/>
      <c r="D4" s="15">
        <f>IFERROR(GETPIVOTDATA("[Measures].[% of Budget]",calc!$N$3),"—")</f>
        <v>1.1321088531531531</v>
      </c>
      <c r="E4" s="14"/>
      <c r="F4" s="15" t="str">
        <f>IFERROR(1/(1/GETPIVOTDATA("[Measures].[MoM %]",calc!$N$3)),"—")</f>
        <v>—</v>
      </c>
      <c r="G4" s="14"/>
      <c r="H4" s="15">
        <f>IFERROR(GETPIVOTDATA("[Measures].[% Untagged]",calc!$N$3),"—")</f>
        <v>7.847047452326647E-2</v>
      </c>
      <c r="I4" s="14"/>
      <c r="J4" s="16">
        <f>IFERROR(GETPIVOTDATA("[Measures].[Teams Over Budget]",calc!$N$3),"—")</f>
        <v>1</v>
      </c>
      <c r="K4" s="14"/>
    </row>
    <row r="5" spans="1:13" ht="18" customHeight="1" x14ac:dyDescent="0.25">
      <c r="B5" s="18"/>
      <c r="C5" s="14"/>
      <c r="D5" s="18"/>
      <c r="E5" s="14"/>
      <c r="F5" s="18" t="s">
        <v>126</v>
      </c>
      <c r="G5" s="14"/>
      <c r="H5" s="17">
        <f>IFERROR(GETPIVOTDATA("[Measures].[Untagged Cost]",calc!$N$3),"—")</f>
        <v>9860.9202000000005</v>
      </c>
      <c r="I5" s="14"/>
      <c r="J5" s="18"/>
      <c r="K5" s="14"/>
    </row>
    <row r="6" spans="1:13" ht="9" customHeight="1" x14ac:dyDescent="0.25"/>
  </sheetData>
  <mergeCells count="1">
    <mergeCell ref="B4:C4"/>
  </mergeCells>
  <conditionalFormatting sqref="D4">
    <cfRule type="expression" dxfId="7" priority="1">
      <formula>AND(ISNUMBER(D4),D4&gt;1)</formula>
    </cfRule>
    <cfRule type="expression" dxfId="6" priority="2">
      <formula>AND(ISNUMBER(D4),D4&lt;=1)</formula>
    </cfRule>
  </conditionalFormatting>
  <conditionalFormatting sqref="J4">
    <cfRule type="expression" dxfId="5" priority="3">
      <formula>AND(ISNUMBER(J4),J4&gt;0)</formula>
    </cfRule>
  </conditionalFormatting>
  <printOptions horizontalCentered="1"/>
  <pageMargins left="0.25" right="0.25" top="0.4" bottom="0.4" header="0.2" footer="0.2"/>
  <pageSetup paperSize="9" scale="6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E3F6-EF66-44FE-8290-07BFE6E39074}">
  <dimension ref="A1:C12"/>
  <sheetViews>
    <sheetView showGridLines="0" workbookViewId="0">
      <selection activeCell="B12" activeCellId="2" sqref="B8 B10 B12"/>
    </sheetView>
  </sheetViews>
  <sheetFormatPr defaultRowHeight="15" x14ac:dyDescent="0.25"/>
  <cols>
    <col min="1" max="1" width="22.7109375" customWidth="1"/>
    <col min="2" max="2" width="16.7109375" customWidth="1"/>
    <col min="3" max="3" width="12.7109375" customWidth="1"/>
  </cols>
  <sheetData>
    <row r="1" spans="1:3" ht="24" customHeight="1" x14ac:dyDescent="0.3">
      <c r="A1" s="19" t="s">
        <v>127</v>
      </c>
    </row>
    <row r="2" spans="1:3" x14ac:dyDescent="0.25">
      <c r="A2" s="26" t="s">
        <v>111</v>
      </c>
      <c r="B2" s="27" t="s">
        <v>7</v>
      </c>
      <c r="C2" s="9" t="s">
        <v>128</v>
      </c>
    </row>
    <row r="3" spans="1:3" x14ac:dyDescent="0.25">
      <c r="A3" s="26" t="s">
        <v>112</v>
      </c>
      <c r="B3" s="28">
        <v>46113</v>
      </c>
      <c r="C3" s="9" t="s">
        <v>128</v>
      </c>
    </row>
    <row r="5" spans="1:3" x14ac:dyDescent="0.25">
      <c r="A5" s="21" t="s">
        <v>113</v>
      </c>
      <c r="B5" s="22">
        <f>SUMIFS(tbl_monthly[cost_usd],tbl_monthly[team],$B$2,tbl_monthly[month_start],$B$3)</f>
        <v>10572.990199999998</v>
      </c>
    </row>
    <row r="6" spans="1:3" x14ac:dyDescent="0.25">
      <c r="A6" s="21" t="s">
        <v>18</v>
      </c>
      <c r="B6" s="22">
        <f t="array" ref="B6">INDEX(tbl_budget[budget_usd],MATCH(1,(tbl_budget[team]=$B$2)*(tbl_budget[month_start]=$B$3),0))</f>
        <v>5000</v>
      </c>
    </row>
    <row r="7" spans="1:3" x14ac:dyDescent="0.25">
      <c r="A7" s="21" t="s">
        <v>114</v>
      </c>
      <c r="B7" s="22">
        <f>B5-B6</f>
        <v>5572.9901999999984</v>
      </c>
    </row>
    <row r="8" spans="1:3" x14ac:dyDescent="0.25">
      <c r="A8" s="21" t="s">
        <v>108</v>
      </c>
      <c r="B8" s="24">
        <f>IFERROR(B5/B6,"")</f>
        <v>2.1145980399999997</v>
      </c>
    </row>
    <row r="9" spans="1:3" x14ac:dyDescent="0.25">
      <c r="A9" s="21" t="s">
        <v>115</v>
      </c>
      <c r="B9" s="22">
        <f>SUMIFS(tbl_monthly[cost_usd],tbl_monthly[team],$B$2,tbl_monthly[month_start],EDATE($B$3,-1))</f>
        <v>4501.8363000000008</v>
      </c>
    </row>
    <row r="10" spans="1:3" x14ac:dyDescent="0.25">
      <c r="A10" s="21" t="s">
        <v>116</v>
      </c>
      <c r="B10" s="24">
        <f>IF(B9=0,"",B5/B9-1)</f>
        <v>1.3485949944470428</v>
      </c>
    </row>
    <row r="11" spans="1:3" x14ac:dyDescent="0.25">
      <c r="A11" s="21" t="s">
        <v>117</v>
      </c>
      <c r="B11" s="22">
        <f>SUMIFS(tbl_monthly[cost_usd],tbl_monthly[team],$B$2,tbl_monthly[month_start],$B$3,tbl_monthly[allocation],"account default")</f>
        <v>0</v>
      </c>
    </row>
    <row r="12" spans="1:3" x14ac:dyDescent="0.25">
      <c r="A12" s="21" t="s">
        <v>109</v>
      </c>
      <c r="B12" s="24">
        <f>IFERROR(B11/B5,"")</f>
        <v>0</v>
      </c>
    </row>
  </sheetData>
  <dataValidations count="2">
    <dataValidation type="list" allowBlank="1" showInputMessage="1" showErrorMessage="1" sqref="B2" xr:uid="{89F57D68-31DE-4BC0-883B-E67CBCC94ADD}">
      <formula1>INDIRECT("tbl_team[team]")</formula1>
    </dataValidation>
    <dataValidation type="list" allowBlank="1" showInputMessage="1" showErrorMessage="1" sqref="B3" xr:uid="{78150722-FBCA-407D-AC0A-1577CD775800}">
      <formula1>INDIRECT("tbl_month[month_start]")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CF37-13A0-4BD4-90AD-7387B74AF726}">
  <dimension ref="A1:I13"/>
  <sheetViews>
    <sheetView showGridLines="0" workbookViewId="0">
      <selection activeCell="A14" sqref="A14"/>
    </sheetView>
  </sheetViews>
  <sheetFormatPr defaultRowHeight="15" x14ac:dyDescent="0.25"/>
  <cols>
    <col min="1" max="1" width="5.7109375" customWidth="1"/>
    <col min="2" max="2" width="13.7109375" customWidth="1"/>
    <col min="3" max="3" width="6.7109375" hidden="1" customWidth="1"/>
    <col min="4" max="5" width="18.7109375" customWidth="1"/>
    <col min="6" max="6" width="11.7109375" customWidth="1"/>
    <col min="7" max="7" width="13.7109375" customWidth="1"/>
    <col min="8" max="8" width="12.7109375" customWidth="1"/>
    <col min="9" max="9" width="11.7109375" customWidth="1"/>
  </cols>
  <sheetData>
    <row r="1" spans="1:9" ht="24" customHeight="1" x14ac:dyDescent="0.3">
      <c r="A1" s="19" t="s">
        <v>129</v>
      </c>
    </row>
    <row r="3" spans="1:9" x14ac:dyDescent="0.25">
      <c r="A3" s="20" t="s">
        <v>99</v>
      </c>
      <c r="B3" s="20" t="s">
        <v>113</v>
      </c>
      <c r="C3" s="20" t="s">
        <v>118</v>
      </c>
      <c r="D3" s="20" t="s">
        <v>119</v>
      </c>
      <c r="E3" s="20" t="s">
        <v>120</v>
      </c>
      <c r="F3" s="20" t="s">
        <v>111</v>
      </c>
      <c r="G3" s="20" t="s">
        <v>121</v>
      </c>
      <c r="H3" s="20" t="s">
        <v>122</v>
      </c>
      <c r="I3" s="20" t="s">
        <v>123</v>
      </c>
    </row>
    <row r="4" spans="1:9" x14ac:dyDescent="0.25">
      <c r="A4" s="25">
        <v>1</v>
      </c>
      <c r="B4" s="22">
        <f>LARGE(tbl_resources[cost_usd],$A4)</f>
        <v>8831.5868999999984</v>
      </c>
      <c r="C4" s="25">
        <f>MATCH($B4,tbl_resources[cost_usd],0)</f>
        <v>1</v>
      </c>
      <c r="D4" s="21" t="str">
        <f>INDEX(tbl_resources[resource_id],$C4)</f>
        <v>i-d1654b0d60dc</v>
      </c>
      <c r="E4" s="21" t="str">
        <f>INDEX(tbl_resources[service],$C4)</f>
        <v>AmazonEC2</v>
      </c>
      <c r="F4" s="21" t="str">
        <f>INDEX(tbl_resources[team],$C4)</f>
        <v>data</v>
      </c>
      <c r="G4" s="21" t="str">
        <f>INDEX(tbl_resources[tag_environment],$C4)</f>
        <v>dev</v>
      </c>
      <c r="H4" s="23">
        <f>INDEX(tbl_resources[first_seen],$C4)</f>
        <v>46122</v>
      </c>
      <c r="I4" s="24">
        <f>$B4/SUM(tbl_resources[cost_usd])</f>
        <v>7.0279324929174811E-2</v>
      </c>
    </row>
    <row r="5" spans="1:9" x14ac:dyDescent="0.25">
      <c r="A5" s="25">
        <v>2</v>
      </c>
      <c r="B5" s="22">
        <f>LARGE(tbl_resources[cost_usd],$A5)</f>
        <v>8564.9808999999987</v>
      </c>
      <c r="C5" s="25">
        <f>MATCH($B5,tbl_resources[cost_usd],0)</f>
        <v>2</v>
      </c>
      <c r="D5" s="21" t="str">
        <f>INDEX(tbl_resources[resource_id],$C5)</f>
        <v>i-bdec3c334cca</v>
      </c>
      <c r="E5" s="21" t="str">
        <f>INDEX(tbl_resources[service],$C5)</f>
        <v>AmazonEC2</v>
      </c>
      <c r="F5" s="21" t="str">
        <f>INDEX(tbl_resources[team],$C5)</f>
        <v>data</v>
      </c>
      <c r="G5" s="21" t="str">
        <f>INDEX(tbl_resources[tag_environment],$C5)</f>
        <v>dev</v>
      </c>
      <c r="H5" s="23">
        <f>INDEX(tbl_resources[first_seen],$C5)</f>
        <v>46122</v>
      </c>
      <c r="I5" s="24">
        <f>$B5/SUM(tbl_resources[cost_usd])</f>
        <v>6.8157748148668068E-2</v>
      </c>
    </row>
    <row r="6" spans="1:9" x14ac:dyDescent="0.25">
      <c r="A6" s="25">
        <v>3</v>
      </c>
      <c r="B6" s="22">
        <f>LARGE(tbl_resources[cost_usd],$A6)</f>
        <v>7509.6056999999964</v>
      </c>
      <c r="C6" s="25">
        <f>MATCH($B6,tbl_resources[cost_usd],0)</f>
        <v>3</v>
      </c>
      <c r="D6" s="21" t="str">
        <f>INDEX(tbl_resources[resource_id],$C6)</f>
        <v>i-24575e4f6d7b</v>
      </c>
      <c r="E6" s="21" t="str">
        <f>INDEX(tbl_resources[service],$C6)</f>
        <v>AmazonEC2</v>
      </c>
      <c r="F6" s="21" t="str">
        <f>INDEX(tbl_resources[team],$C6)</f>
        <v>data</v>
      </c>
      <c r="G6" s="21" t="str">
        <f>INDEX(tbl_resources[tag_environment],$C6)</f>
        <v>staging</v>
      </c>
      <c r="H6" s="23">
        <f>INDEX(tbl_resources[first_seen],$C6)</f>
        <v>46023</v>
      </c>
      <c r="I6" s="24">
        <f>$B6/SUM(tbl_resources[cost_usd])</f>
        <v>5.975936431993701E-2</v>
      </c>
    </row>
    <row r="7" spans="1:9" x14ac:dyDescent="0.25">
      <c r="A7" s="25">
        <v>4</v>
      </c>
      <c r="B7" s="22">
        <f>LARGE(tbl_resources[cost_usd],$A7)</f>
        <v>6727.6679000000022</v>
      </c>
      <c r="C7" s="25">
        <f>MATCH($B7,tbl_resources[cost_usd],0)</f>
        <v>4</v>
      </c>
      <c r="D7" s="21" t="str">
        <f>INDEX(tbl_resources[resource_id],$C7)</f>
        <v>i-a0c052e563ce</v>
      </c>
      <c r="E7" s="21" t="str">
        <f>INDEX(tbl_resources[service],$C7)</f>
        <v>AmazonEC2</v>
      </c>
      <c r="F7" s="21" t="str">
        <f>INDEX(tbl_resources[team],$C7)</f>
        <v>data</v>
      </c>
      <c r="G7" s="21" t="str">
        <f>INDEX(tbl_resources[tag_environment],$C7)</f>
        <v>dev</v>
      </c>
      <c r="H7" s="23">
        <f>INDEX(tbl_resources[first_seen],$C7)</f>
        <v>46122</v>
      </c>
      <c r="I7" s="24">
        <f>$B7/SUM(tbl_resources[cost_usd])</f>
        <v>5.353691966272555E-2</v>
      </c>
    </row>
    <row r="8" spans="1:9" x14ac:dyDescent="0.25">
      <c r="A8" s="25">
        <v>5</v>
      </c>
      <c r="B8" s="22">
        <f>LARGE(tbl_resources[cost_usd],$A8)</f>
        <v>6419.0749999999989</v>
      </c>
      <c r="C8" s="25">
        <f>MATCH($B8,tbl_resources[cost_usd],0)</f>
        <v>5</v>
      </c>
      <c r="D8" s="21" t="str">
        <f>INDEX(tbl_resources[resource_id],$C8)</f>
        <v>i-fe482ed4a92c</v>
      </c>
      <c r="E8" s="21" t="str">
        <f>INDEX(tbl_resources[service],$C8)</f>
        <v>AmazonEC2</v>
      </c>
      <c r="F8" s="21" t="str">
        <f>INDEX(tbl_resources[team],$C8)</f>
        <v>platform</v>
      </c>
      <c r="G8" s="21" t="str">
        <f>INDEX(tbl_resources[tag_environment],$C8)</f>
        <v>prod</v>
      </c>
      <c r="H8" s="23">
        <f>INDEX(tbl_resources[first_seen],$C8)</f>
        <v>46023</v>
      </c>
      <c r="I8" s="24">
        <f>$B8/SUM(tbl_resources[cost_usd])</f>
        <v>5.1081222749418093E-2</v>
      </c>
    </row>
    <row r="9" spans="1:9" x14ac:dyDescent="0.25">
      <c r="A9" s="25">
        <v>6</v>
      </c>
      <c r="B9" s="22">
        <f>LARGE(tbl_resources[cost_usd],$A9)</f>
        <v>6127.2194000000009</v>
      </c>
      <c r="C9" s="25">
        <f>MATCH($B9,tbl_resources[cost_usd],0)</f>
        <v>6</v>
      </c>
      <c r="D9" s="21" t="str">
        <f>INDEX(tbl_resources[resource_id],$C9)</f>
        <v>i-56585dd1fadb</v>
      </c>
      <c r="E9" s="21" t="str">
        <f>INDEX(tbl_resources[service],$C9)</f>
        <v>AmazonEC2</v>
      </c>
      <c r="F9" s="21" t="str">
        <f>INDEX(tbl_resources[team],$C9)</f>
        <v>web</v>
      </c>
      <c r="G9" s="21" t="str">
        <f>INDEX(tbl_resources[tag_environment],$C9)</f>
        <v>staging</v>
      </c>
      <c r="H9" s="23">
        <f>INDEX(tbl_resources[first_seen],$C9)</f>
        <v>46023</v>
      </c>
      <c r="I9" s="24">
        <f>$B9/SUM(tbl_resources[cost_usd])</f>
        <v>4.875871663844962E-2</v>
      </c>
    </row>
    <row r="10" spans="1:9" x14ac:dyDescent="0.25">
      <c r="A10" s="25">
        <v>7</v>
      </c>
      <c r="B10" s="22">
        <f>LARGE(tbl_resources[cost_usd],$A10)</f>
        <v>5721.1331000000037</v>
      </c>
      <c r="C10" s="25">
        <f>MATCH($B10,tbl_resources[cost_usd],0)</f>
        <v>7</v>
      </c>
      <c r="D10" s="21" t="str">
        <f>INDEX(tbl_resources[resource_id],$C10)</f>
        <v>db-003d9371f745</v>
      </c>
      <c r="E10" s="21" t="str">
        <f>INDEX(tbl_resources[service],$C10)</f>
        <v>AmazonRDS</v>
      </c>
      <c r="F10" s="21" t="str">
        <f>INDEX(tbl_resources[team],$C10)</f>
        <v>web</v>
      </c>
      <c r="G10" s="21" t="str">
        <f>INDEX(tbl_resources[tag_environment],$C10)</f>
        <v>staging</v>
      </c>
      <c r="H10" s="23">
        <f>INDEX(tbl_resources[first_seen],$C10)</f>
        <v>46023</v>
      </c>
      <c r="I10" s="24">
        <f>$B10/SUM(tbl_resources[cost_usd])</f>
        <v>4.552719422349312E-2</v>
      </c>
    </row>
    <row r="11" spans="1:9" x14ac:dyDescent="0.25">
      <c r="A11" s="25">
        <v>8</v>
      </c>
      <c r="B11" s="22">
        <f>LARGE(tbl_resources[cost_usd],$A11)</f>
        <v>5573.1673999999957</v>
      </c>
      <c r="C11" s="25">
        <f>MATCH($B11,tbl_resources[cost_usd],0)</f>
        <v>8</v>
      </c>
      <c r="D11" s="21" t="str">
        <f>INDEX(tbl_resources[resource_id],$C11)</f>
        <v>i-c616f8fd0ba8</v>
      </c>
      <c r="E11" s="21" t="str">
        <f>INDEX(tbl_resources[service],$C11)</f>
        <v>AmazonEC2</v>
      </c>
      <c r="F11" s="21" t="str">
        <f>INDEX(tbl_resources[team],$C11)</f>
        <v>platform</v>
      </c>
      <c r="G11" s="21" t="str">
        <f>INDEX(tbl_resources[tag_environment],$C11)</f>
        <v>dev</v>
      </c>
      <c r="H11" s="23">
        <f>INDEX(tbl_resources[first_seen],$C11)</f>
        <v>46023</v>
      </c>
      <c r="I11" s="24">
        <f>$B11/SUM(tbl_resources[cost_usd])</f>
        <v>4.4349724123677499E-2</v>
      </c>
    </row>
    <row r="12" spans="1:9" x14ac:dyDescent="0.25">
      <c r="A12" s="25">
        <v>9</v>
      </c>
      <c r="B12" s="22">
        <f>LARGE(tbl_resources[cost_usd],$A12)</f>
        <v>5115.6544999999996</v>
      </c>
      <c r="C12" s="25">
        <f>MATCH($B12,tbl_resources[cost_usd],0)</f>
        <v>9</v>
      </c>
      <c r="D12" s="21" t="str">
        <f>INDEX(tbl_resources[resource_id],$C12)</f>
        <v>db-29a7155ad5b4</v>
      </c>
      <c r="E12" s="21" t="str">
        <f>INDEX(tbl_resources[service],$C12)</f>
        <v>AmazonRDS</v>
      </c>
      <c r="F12" s="21" t="str">
        <f>INDEX(tbl_resources[team],$C12)</f>
        <v>web</v>
      </c>
      <c r="G12" s="21" t="str">
        <f>INDEX(tbl_resources[tag_environment],$C12)</f>
        <v>prod</v>
      </c>
      <c r="H12" s="23">
        <f>INDEX(tbl_resources[first_seen],$C12)</f>
        <v>46023</v>
      </c>
      <c r="I12" s="24">
        <f>$B12/SUM(tbl_resources[cost_usd])</f>
        <v>4.0708963055200796E-2</v>
      </c>
    </row>
    <row r="13" spans="1:9" x14ac:dyDescent="0.25">
      <c r="A13" s="25">
        <v>10</v>
      </c>
      <c r="B13" s="22">
        <f>LARGE(tbl_resources[cost_usd],$A13)</f>
        <v>5015.0294000000031</v>
      </c>
      <c r="C13" s="25">
        <f>MATCH($B13,tbl_resources[cost_usd],0)</f>
        <v>10</v>
      </c>
      <c r="D13" s="21" t="str">
        <f>INDEX(tbl_resources[resource_id],$C13)</f>
        <v>db-22107943bb7a</v>
      </c>
      <c r="E13" s="21" t="str">
        <f>INDEX(tbl_resources[service],$C13)</f>
        <v>AmazonRDS</v>
      </c>
      <c r="F13" s="21" t="str">
        <f>INDEX(tbl_resources[team],$C13)</f>
        <v>web</v>
      </c>
      <c r="G13" s="21" t="str">
        <f>INDEX(tbl_resources[tag_environment],$C13)</f>
        <v>staging</v>
      </c>
      <c r="H13" s="23">
        <f>INDEX(tbl_resources[first_seen],$C13)</f>
        <v>46023</v>
      </c>
      <c r="I13" s="24">
        <f>$B13/SUM(tbl_resources[cost_usd])</f>
        <v>3.9908216351465089E-2</v>
      </c>
    </row>
  </sheetData>
  <conditionalFormatting sqref="A4:I13">
    <cfRule type="expression" dxfId="4" priority="1">
      <formula>$G4="dev"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1D8F-D54F-4321-A543-50811F151F2E}">
  <dimension ref="A3:S16"/>
  <sheetViews>
    <sheetView zoomScale="85" zoomScaleNormal="85" workbookViewId="0">
      <selection activeCell="J4" sqref="J4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3" width="8.7109375" bestFit="1" customWidth="1"/>
    <col min="5" max="5" width="13.28515625" bestFit="1" customWidth="1"/>
    <col min="6" max="6" width="9.7109375" bestFit="1" customWidth="1"/>
    <col min="7" max="7" width="8.7109375" bestFit="1" customWidth="1"/>
    <col min="8" max="8" width="11.5703125" bestFit="1" customWidth="1"/>
    <col min="10" max="10" width="18.5703125" bestFit="1" customWidth="1"/>
    <col min="11" max="11" width="9.7109375" bestFit="1" customWidth="1"/>
    <col min="14" max="14" width="9.7109375" bestFit="1" customWidth="1"/>
    <col min="15" max="15" width="11.5703125" bestFit="1" customWidth="1"/>
    <col min="16" max="16" width="7.85546875" bestFit="1" customWidth="1"/>
    <col min="17" max="17" width="11.5703125" bestFit="1" customWidth="1"/>
    <col min="18" max="18" width="14" bestFit="1" customWidth="1"/>
    <col min="19" max="19" width="18.42578125" bestFit="1" customWidth="1"/>
  </cols>
  <sheetData>
    <row r="3" spans="1:19" x14ac:dyDescent="0.25">
      <c r="A3" s="1" t="s">
        <v>130</v>
      </c>
      <c r="B3" t="s">
        <v>22</v>
      </c>
      <c r="C3" t="s">
        <v>18</v>
      </c>
      <c r="E3" s="1" t="s">
        <v>130</v>
      </c>
      <c r="F3" t="s">
        <v>22</v>
      </c>
      <c r="G3" t="s">
        <v>18</v>
      </c>
      <c r="H3" t="s">
        <v>20</v>
      </c>
      <c r="J3" s="1" t="s">
        <v>130</v>
      </c>
      <c r="K3" t="s">
        <v>22</v>
      </c>
      <c r="N3" t="s">
        <v>22</v>
      </c>
      <c r="O3" t="s">
        <v>20</v>
      </c>
      <c r="P3" t="s">
        <v>23</v>
      </c>
      <c r="Q3" t="s">
        <v>17</v>
      </c>
      <c r="R3" t="s">
        <v>16</v>
      </c>
      <c r="S3" t="s">
        <v>106</v>
      </c>
    </row>
    <row r="4" spans="1:19" x14ac:dyDescent="0.25">
      <c r="A4" s="2" t="s">
        <v>100</v>
      </c>
      <c r="B4" s="5">
        <v>16037.560100000001</v>
      </c>
      <c r="C4" s="5">
        <v>17600</v>
      </c>
      <c r="E4" s="2" t="s">
        <v>7</v>
      </c>
      <c r="F4" s="5">
        <v>51103.373399999997</v>
      </c>
      <c r="G4" s="5">
        <v>29700</v>
      </c>
      <c r="H4" s="6">
        <v>1.7206523030303029</v>
      </c>
      <c r="J4" s="2" t="s">
        <v>33</v>
      </c>
      <c r="K4" s="5">
        <v>65566.745999999999</v>
      </c>
      <c r="N4" s="5">
        <v>125664.0827</v>
      </c>
      <c r="O4" s="6">
        <v>1.1321088531531531</v>
      </c>
      <c r="P4" s="4"/>
      <c r="Q4" s="4">
        <v>7.847047452326647E-2</v>
      </c>
      <c r="R4" s="5">
        <v>9860.9202000000005</v>
      </c>
      <c r="S4" s="29">
        <v>1</v>
      </c>
    </row>
    <row r="5" spans="1:19" x14ac:dyDescent="0.25">
      <c r="A5" s="2" t="s">
        <v>101</v>
      </c>
      <c r="B5" s="5">
        <v>14900.602199999999</v>
      </c>
      <c r="C5" s="5">
        <v>16500</v>
      </c>
      <c r="E5" s="2" t="s">
        <v>4</v>
      </c>
      <c r="F5" s="5">
        <v>34256.3436</v>
      </c>
      <c r="G5" s="5">
        <v>37600</v>
      </c>
      <c r="H5" s="6">
        <v>0.9110729680851064</v>
      </c>
      <c r="J5" s="2" t="s">
        <v>34</v>
      </c>
      <c r="K5" s="5">
        <v>29710.2922</v>
      </c>
    </row>
    <row r="6" spans="1:19" x14ac:dyDescent="0.25">
      <c r="A6" s="2" t="s">
        <v>102</v>
      </c>
      <c r="B6" s="5">
        <v>16853.375800000002</v>
      </c>
      <c r="C6" s="5">
        <v>18700</v>
      </c>
      <c r="E6" s="2" t="s">
        <v>10</v>
      </c>
      <c r="F6" s="5">
        <v>40304.365700000002</v>
      </c>
      <c r="G6" s="5">
        <v>43700</v>
      </c>
      <c r="H6" s="6">
        <v>0.92229669794050351</v>
      </c>
      <c r="J6" s="2" t="s">
        <v>31</v>
      </c>
      <c r="K6" s="5">
        <v>16575.120699999999</v>
      </c>
    </row>
    <row r="7" spans="1:19" x14ac:dyDescent="0.25">
      <c r="A7" s="2" t="s">
        <v>103</v>
      </c>
      <c r="B7" s="5">
        <v>22928.3361</v>
      </c>
      <c r="C7" s="5">
        <v>18600</v>
      </c>
      <c r="E7" s="2" t="s">
        <v>131</v>
      </c>
      <c r="F7" s="5">
        <v>125664.0827</v>
      </c>
      <c r="G7" s="5">
        <v>111000</v>
      </c>
      <c r="H7" s="6">
        <v>1.1321088531531531</v>
      </c>
      <c r="J7" s="2" t="s">
        <v>32</v>
      </c>
      <c r="K7" s="5">
        <v>7504.2394000000004</v>
      </c>
    </row>
    <row r="8" spans="1:19" x14ac:dyDescent="0.25">
      <c r="A8" s="2" t="s">
        <v>104</v>
      </c>
      <c r="B8" s="5">
        <v>27895.9535</v>
      </c>
      <c r="C8" s="5">
        <v>19800</v>
      </c>
      <c r="J8" s="2" t="s">
        <v>29</v>
      </c>
      <c r="K8" s="5">
        <v>3638.8690000000001</v>
      </c>
    </row>
    <row r="9" spans="1:19" x14ac:dyDescent="0.25">
      <c r="A9" s="2" t="s">
        <v>105</v>
      </c>
      <c r="B9" s="5">
        <v>27048.255000000001</v>
      </c>
      <c r="C9" s="5">
        <v>19800</v>
      </c>
      <c r="J9" s="2" t="s">
        <v>35</v>
      </c>
      <c r="K9" s="5">
        <v>2668.8154</v>
      </c>
    </row>
    <row r="10" spans="1:19" x14ac:dyDescent="0.25">
      <c r="A10" s="2" t="s">
        <v>131</v>
      </c>
      <c r="B10" s="5">
        <v>125664.0827</v>
      </c>
      <c r="C10" s="5">
        <v>111000</v>
      </c>
      <c r="J10" s="2" t="s">
        <v>131</v>
      </c>
      <c r="K10" s="5">
        <v>125664.0827</v>
      </c>
    </row>
    <row r="12" spans="1:19" x14ac:dyDescent="0.25">
      <c r="E12" s="1" t="s">
        <v>130</v>
      </c>
      <c r="F12" t="s">
        <v>22</v>
      </c>
      <c r="G12" t="s">
        <v>18</v>
      </c>
    </row>
    <row r="13" spans="1:19" x14ac:dyDescent="0.25">
      <c r="E13" s="2" t="s">
        <v>7</v>
      </c>
      <c r="F13" s="5">
        <v>51103.373399999997</v>
      </c>
      <c r="G13" s="5">
        <v>29700</v>
      </c>
    </row>
    <row r="14" spans="1:19" x14ac:dyDescent="0.25">
      <c r="E14" s="2" t="s">
        <v>4</v>
      </c>
      <c r="F14" s="5">
        <v>34256.3436</v>
      </c>
      <c r="G14" s="5">
        <v>37600</v>
      </c>
    </row>
    <row r="15" spans="1:19" x14ac:dyDescent="0.25">
      <c r="E15" s="2" t="s">
        <v>10</v>
      </c>
      <c r="F15" s="5">
        <v>40304.365700000002</v>
      </c>
      <c r="G15" s="5">
        <v>43700</v>
      </c>
    </row>
    <row r="16" spans="1:19" x14ac:dyDescent="0.25">
      <c r="E16" s="2" t="s">
        <v>131</v>
      </c>
      <c r="F16" s="5">
        <v>125664.0827</v>
      </c>
      <c r="G16" s="5">
        <v>111000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8607-E7DE-4379-8539-24FD612D7F4B}">
  <dimension ref="A1:I26"/>
  <sheetViews>
    <sheetView workbookViewId="0"/>
  </sheetViews>
  <sheetFormatPr defaultRowHeight="15" x14ac:dyDescent="0.25"/>
  <cols>
    <col min="1" max="1" width="13.140625" bestFit="1" customWidth="1"/>
    <col min="2" max="2" width="16.85546875" bestFit="1" customWidth="1"/>
    <col min="3" max="3" width="19.7109375" bestFit="1" customWidth="1"/>
    <col min="4" max="4" width="14" bestFit="1" customWidth="1"/>
    <col min="5" max="5" width="11.5703125" bestFit="1" customWidth="1"/>
    <col min="6" max="6" width="8.5703125" bestFit="1" customWidth="1"/>
    <col min="7" max="7" width="15.5703125" bestFit="1" customWidth="1"/>
    <col min="8" max="8" width="11.5703125" bestFit="1" customWidth="1"/>
    <col min="9" max="9" width="15.85546875" bestFit="1" customWidth="1"/>
  </cols>
  <sheetData>
    <row r="1" spans="1:9" x14ac:dyDescent="0.25">
      <c r="A1" s="1" t="s">
        <v>130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s="2" t="s">
        <v>100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" t="s">
        <v>7</v>
      </c>
      <c r="B3" s="29">
        <v>4292.8391000000001</v>
      </c>
      <c r="C3" s="29">
        <v>4700</v>
      </c>
      <c r="D3" s="5"/>
      <c r="E3" s="4"/>
      <c r="F3" s="5">
        <v>4700</v>
      </c>
      <c r="G3" s="5">
        <v>-407.16089999999986</v>
      </c>
      <c r="H3" s="6">
        <v>0.91337002127659572</v>
      </c>
      <c r="I3" s="5"/>
    </row>
    <row r="4" spans="1:9" x14ac:dyDescent="0.25">
      <c r="A4" s="3" t="s">
        <v>4</v>
      </c>
      <c r="B4" s="29">
        <v>5432.0950000000003</v>
      </c>
      <c r="C4" s="29">
        <v>6000</v>
      </c>
      <c r="D4" s="5">
        <v>1573.3857</v>
      </c>
      <c r="E4" s="4">
        <v>0.28964620464111912</v>
      </c>
      <c r="F4" s="5">
        <v>6000</v>
      </c>
      <c r="G4" s="5">
        <v>-567.90499999999975</v>
      </c>
      <c r="H4" s="6">
        <v>0.90534916666666676</v>
      </c>
      <c r="I4" s="5"/>
    </row>
    <row r="5" spans="1:9" x14ac:dyDescent="0.25">
      <c r="A5" s="3" t="s">
        <v>10</v>
      </c>
      <c r="B5" s="29">
        <v>6312.6260000000002</v>
      </c>
      <c r="C5" s="29">
        <v>6900</v>
      </c>
      <c r="D5" s="5"/>
      <c r="E5" s="4"/>
      <c r="F5" s="5">
        <v>6900</v>
      </c>
      <c r="G5" s="5">
        <v>-587.3739999999998</v>
      </c>
      <c r="H5" s="6">
        <v>0.91487333333333332</v>
      </c>
      <c r="I5" s="5"/>
    </row>
    <row r="6" spans="1:9" x14ac:dyDescent="0.25">
      <c r="A6" s="2" t="s">
        <v>101</v>
      </c>
      <c r="B6" s="29"/>
      <c r="C6" s="29"/>
      <c r="D6" s="29"/>
      <c r="E6" s="29"/>
      <c r="F6" s="29"/>
      <c r="G6" s="29"/>
      <c r="H6" s="29"/>
      <c r="I6" s="29"/>
    </row>
    <row r="7" spans="1:9" x14ac:dyDescent="0.25">
      <c r="A7" s="3" t="s">
        <v>7</v>
      </c>
      <c r="B7" s="29">
        <v>3963.9879999999998</v>
      </c>
      <c r="C7" s="29">
        <v>4400</v>
      </c>
      <c r="D7" s="5"/>
      <c r="E7" s="4"/>
      <c r="F7" s="5">
        <v>4400</v>
      </c>
      <c r="G7" s="5">
        <v>-436.01200000000017</v>
      </c>
      <c r="H7" s="6">
        <v>0.90090636363636356</v>
      </c>
      <c r="I7" s="5">
        <v>4292.8391000000001</v>
      </c>
    </row>
    <row r="8" spans="1:9" x14ac:dyDescent="0.25">
      <c r="A8" s="3" t="s">
        <v>4</v>
      </c>
      <c r="B8" s="29">
        <v>5072.0150000000003</v>
      </c>
      <c r="C8" s="29">
        <v>5600</v>
      </c>
      <c r="D8" s="5">
        <v>1455.5083</v>
      </c>
      <c r="E8" s="4">
        <v>0.28696845336616705</v>
      </c>
      <c r="F8" s="5">
        <v>5600</v>
      </c>
      <c r="G8" s="5">
        <v>-527.98499999999967</v>
      </c>
      <c r="H8" s="6">
        <v>0.90571696428571435</v>
      </c>
      <c r="I8" s="5">
        <v>5432.0949999999993</v>
      </c>
    </row>
    <row r="9" spans="1:9" x14ac:dyDescent="0.25">
      <c r="A9" s="3" t="s">
        <v>10</v>
      </c>
      <c r="B9" s="29">
        <v>5864.5991999999997</v>
      </c>
      <c r="C9" s="29">
        <v>6500</v>
      </c>
      <c r="D9" s="5"/>
      <c r="E9" s="4"/>
      <c r="F9" s="5">
        <v>6500</v>
      </c>
      <c r="G9" s="5">
        <v>-635.40080000000034</v>
      </c>
      <c r="H9" s="6">
        <v>0.90224603076923071</v>
      </c>
      <c r="I9" s="5">
        <v>6312.6260000000002</v>
      </c>
    </row>
    <row r="10" spans="1:9" x14ac:dyDescent="0.25">
      <c r="A10" s="2" t="s">
        <v>102</v>
      </c>
      <c r="B10" s="29"/>
      <c r="C10" s="29"/>
      <c r="D10" s="29"/>
      <c r="E10" s="29"/>
      <c r="F10" s="29"/>
      <c r="G10" s="29"/>
      <c r="H10" s="29"/>
      <c r="I10" s="29"/>
    </row>
    <row r="11" spans="1:9" x14ac:dyDescent="0.25">
      <c r="A11" s="3" t="s">
        <v>7</v>
      </c>
      <c r="B11" s="29">
        <v>4501.8362999999999</v>
      </c>
      <c r="C11" s="29">
        <v>5000</v>
      </c>
      <c r="D11" s="5"/>
      <c r="E11" s="4"/>
      <c r="F11" s="5">
        <v>5000</v>
      </c>
      <c r="G11" s="5">
        <v>-498.16370000000006</v>
      </c>
      <c r="H11" s="6">
        <v>0.90036726</v>
      </c>
      <c r="I11" s="5">
        <v>3963.9879999999994</v>
      </c>
    </row>
    <row r="12" spans="1:9" x14ac:dyDescent="0.25">
      <c r="A12" s="3" t="s">
        <v>4</v>
      </c>
      <c r="B12" s="29">
        <v>5756.7493999999997</v>
      </c>
      <c r="C12" s="29">
        <v>6300</v>
      </c>
      <c r="D12" s="5">
        <v>1660.0732</v>
      </c>
      <c r="E12" s="4">
        <v>0.28836989152246234</v>
      </c>
      <c r="F12" s="5">
        <v>6300</v>
      </c>
      <c r="G12" s="5">
        <v>-543.2506000000003</v>
      </c>
      <c r="H12" s="6">
        <v>0.91376974603174599</v>
      </c>
      <c r="I12" s="5">
        <v>5072.0150000000003</v>
      </c>
    </row>
    <row r="13" spans="1:9" x14ac:dyDescent="0.25">
      <c r="A13" s="3" t="s">
        <v>10</v>
      </c>
      <c r="B13" s="29">
        <v>6594.7901000000002</v>
      </c>
      <c r="C13" s="29">
        <v>7400</v>
      </c>
      <c r="D13" s="5"/>
      <c r="E13" s="4"/>
      <c r="F13" s="5">
        <v>7400</v>
      </c>
      <c r="G13" s="5">
        <v>-805.20989999999983</v>
      </c>
      <c r="H13" s="6">
        <v>0.89118785135135137</v>
      </c>
      <c r="I13" s="5">
        <v>5864.5991999999997</v>
      </c>
    </row>
    <row r="14" spans="1:9" x14ac:dyDescent="0.25">
      <c r="A14" s="2" t="s">
        <v>103</v>
      </c>
      <c r="B14" s="29"/>
      <c r="C14" s="29"/>
      <c r="D14" s="29"/>
      <c r="E14" s="29"/>
      <c r="F14" s="29"/>
      <c r="G14" s="29"/>
      <c r="H14" s="29"/>
      <c r="I14" s="29"/>
    </row>
    <row r="15" spans="1:9" x14ac:dyDescent="0.25">
      <c r="A15" s="3" t="s">
        <v>7</v>
      </c>
      <c r="B15" s="29">
        <v>10572.9902</v>
      </c>
      <c r="C15" s="29">
        <v>5000</v>
      </c>
      <c r="D15" s="5"/>
      <c r="E15" s="4"/>
      <c r="F15" s="5">
        <v>5000</v>
      </c>
      <c r="G15" s="5">
        <v>5572.9902000000002</v>
      </c>
      <c r="H15" s="6">
        <v>2.1145980400000002</v>
      </c>
      <c r="I15" s="5">
        <v>4501.8362999999999</v>
      </c>
    </row>
    <row r="16" spans="1:9" x14ac:dyDescent="0.25">
      <c r="A16" s="3" t="s">
        <v>4</v>
      </c>
      <c r="B16" s="29">
        <v>5767.2480999999998</v>
      </c>
      <c r="C16" s="29">
        <v>6300</v>
      </c>
      <c r="D16" s="5">
        <v>1650.3815</v>
      </c>
      <c r="E16" s="4">
        <v>0.28616447071177675</v>
      </c>
      <c r="F16" s="5">
        <v>6300</v>
      </c>
      <c r="G16" s="5">
        <v>-532.75190000000021</v>
      </c>
      <c r="H16" s="6">
        <v>0.91543620634920631</v>
      </c>
      <c r="I16" s="5">
        <v>5756.7493999999997</v>
      </c>
    </row>
    <row r="17" spans="1:9" x14ac:dyDescent="0.25">
      <c r="A17" s="3" t="s">
        <v>10</v>
      </c>
      <c r="B17" s="29">
        <v>6588.0977999999996</v>
      </c>
      <c r="C17" s="29">
        <v>7300</v>
      </c>
      <c r="D17" s="5"/>
      <c r="E17" s="4"/>
      <c r="F17" s="5">
        <v>7300</v>
      </c>
      <c r="G17" s="5">
        <v>-711.90220000000045</v>
      </c>
      <c r="H17" s="6">
        <v>0.90247915068493145</v>
      </c>
      <c r="I17" s="5">
        <v>6594.7900999999974</v>
      </c>
    </row>
    <row r="18" spans="1:9" x14ac:dyDescent="0.25">
      <c r="A18" s="2" t="s">
        <v>104</v>
      </c>
      <c r="B18" s="29"/>
      <c r="C18" s="29"/>
      <c r="D18" s="29"/>
      <c r="E18" s="29"/>
      <c r="F18" s="29"/>
      <c r="G18" s="29"/>
      <c r="H18" s="29"/>
      <c r="I18" s="29"/>
    </row>
    <row r="19" spans="1:9" x14ac:dyDescent="0.25">
      <c r="A19" s="3" t="s">
        <v>7</v>
      </c>
      <c r="B19" s="29">
        <v>13788.755999999999</v>
      </c>
      <c r="C19" s="29">
        <v>5300</v>
      </c>
      <c r="D19" s="5"/>
      <c r="E19" s="4"/>
      <c r="F19" s="5">
        <v>5300</v>
      </c>
      <c r="G19" s="5">
        <v>8488.7559999999994</v>
      </c>
      <c r="H19" s="6">
        <v>2.6016520754716979</v>
      </c>
      <c r="I19" s="5">
        <v>10572.9902</v>
      </c>
    </row>
    <row r="20" spans="1:9" x14ac:dyDescent="0.25">
      <c r="A20" s="3" t="s">
        <v>4</v>
      </c>
      <c r="B20" s="29">
        <v>6184.5586999999996</v>
      </c>
      <c r="C20" s="29">
        <v>6700</v>
      </c>
      <c r="D20" s="5">
        <v>1761.8166000000001</v>
      </c>
      <c r="E20" s="4">
        <v>0.28487345426925936</v>
      </c>
      <c r="F20" s="5">
        <v>6700</v>
      </c>
      <c r="G20" s="5">
        <v>-515.44130000000041</v>
      </c>
      <c r="H20" s="6">
        <v>0.92306846268656706</v>
      </c>
      <c r="I20" s="5">
        <v>5767.2480999999998</v>
      </c>
    </row>
    <row r="21" spans="1:9" x14ac:dyDescent="0.25">
      <c r="A21" s="3" t="s">
        <v>10</v>
      </c>
      <c r="B21" s="29">
        <v>7922.6387999999997</v>
      </c>
      <c r="C21" s="29">
        <v>7800</v>
      </c>
      <c r="D21" s="5"/>
      <c r="E21" s="4"/>
      <c r="F21" s="5">
        <v>7800</v>
      </c>
      <c r="G21" s="5">
        <v>122.63879999999972</v>
      </c>
      <c r="H21" s="6">
        <v>1.0157229230769231</v>
      </c>
      <c r="I21" s="5">
        <v>6588.0978000000005</v>
      </c>
    </row>
    <row r="22" spans="1:9" x14ac:dyDescent="0.25">
      <c r="A22" s="2" t="s">
        <v>105</v>
      </c>
      <c r="B22" s="29"/>
      <c r="C22" s="29"/>
      <c r="D22" s="29"/>
      <c r="E22" s="29"/>
      <c r="F22" s="29"/>
      <c r="G22" s="29"/>
      <c r="H22" s="29"/>
      <c r="I22" s="29"/>
    </row>
    <row r="23" spans="1:9" x14ac:dyDescent="0.25">
      <c r="A23" s="3" t="s">
        <v>7</v>
      </c>
      <c r="B23" s="29">
        <v>13982.9638</v>
      </c>
      <c r="C23" s="29">
        <v>5300</v>
      </c>
      <c r="D23" s="5"/>
      <c r="E23" s="4"/>
      <c r="F23" s="5">
        <v>5300</v>
      </c>
      <c r="G23" s="5">
        <v>8682.9637999999995</v>
      </c>
      <c r="H23" s="6">
        <v>2.6382950566037735</v>
      </c>
      <c r="I23" s="5">
        <v>13788.756000000001</v>
      </c>
    </row>
    <row r="24" spans="1:9" x14ac:dyDescent="0.25">
      <c r="A24" s="3" t="s">
        <v>4</v>
      </c>
      <c r="B24" s="29">
        <v>6043.6773999999996</v>
      </c>
      <c r="C24" s="29">
        <v>6700</v>
      </c>
      <c r="D24" s="5">
        <v>1759.7548999999999</v>
      </c>
      <c r="E24" s="4">
        <v>0.29117287100731087</v>
      </c>
      <c r="F24" s="5">
        <v>6700</v>
      </c>
      <c r="G24" s="5">
        <v>-656.32260000000042</v>
      </c>
      <c r="H24" s="6">
        <v>0.90204140298507451</v>
      </c>
      <c r="I24" s="5">
        <v>6184.5586999999996</v>
      </c>
    </row>
    <row r="25" spans="1:9" x14ac:dyDescent="0.25">
      <c r="A25" s="3" t="s">
        <v>10</v>
      </c>
      <c r="B25" s="29">
        <v>7021.6138000000001</v>
      </c>
      <c r="C25" s="29">
        <v>7800</v>
      </c>
      <c r="D25" s="5"/>
      <c r="E25" s="4"/>
      <c r="F25" s="5">
        <v>7800</v>
      </c>
      <c r="G25" s="5">
        <v>-778.38619999999992</v>
      </c>
      <c r="H25" s="6">
        <v>0.90020689743589744</v>
      </c>
      <c r="I25" s="5">
        <v>7922.6388000000006</v>
      </c>
    </row>
    <row r="26" spans="1:9" x14ac:dyDescent="0.25">
      <c r="A26" s="2" t="s">
        <v>131</v>
      </c>
      <c r="B26" s="29">
        <v>125664.0827</v>
      </c>
      <c r="C26" s="29">
        <v>111000</v>
      </c>
      <c r="D26" s="5">
        <v>9860.9202000000005</v>
      </c>
      <c r="E26" s="4">
        <v>7.847047452326647E-2</v>
      </c>
      <c r="F26" s="5">
        <v>111000</v>
      </c>
      <c r="G26" s="5">
        <v>14664.082699999999</v>
      </c>
      <c r="H26" s="6">
        <v>1.1321088531531531</v>
      </c>
      <c r="I26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1C4A-20EE-4FF7-8922-E2000B8D9146}">
  <dimension ref="A1:G8"/>
  <sheetViews>
    <sheetView workbookViewId="0">
      <selection sqref="A1:G9"/>
    </sheetView>
  </sheetViews>
  <sheetFormatPr defaultRowHeight="15" x14ac:dyDescent="0.25"/>
  <cols>
    <col min="1" max="1" width="13.140625" bestFit="1" customWidth="1"/>
    <col min="2" max="2" width="9.7109375" bestFit="1" customWidth="1"/>
    <col min="3" max="3" width="15.85546875" bestFit="1" customWidth="1"/>
    <col min="4" max="4" width="8.5703125" bestFit="1" customWidth="1"/>
    <col min="5" max="5" width="11.5703125" bestFit="1" customWidth="1"/>
    <col min="6" max="6" width="7.85546875" bestFit="1" customWidth="1"/>
    <col min="7" max="7" width="11.5703125" bestFit="1" customWidth="1"/>
    <col min="8" max="9" width="15.85546875" bestFit="1" customWidth="1"/>
  </cols>
  <sheetData>
    <row r="1" spans="1:7" x14ac:dyDescent="0.25">
      <c r="A1" s="1" t="s">
        <v>130</v>
      </c>
      <c r="B1" t="s">
        <v>22</v>
      </c>
      <c r="C1" t="s">
        <v>21</v>
      </c>
      <c r="D1" t="s">
        <v>18</v>
      </c>
      <c r="E1" t="s">
        <v>20</v>
      </c>
      <c r="F1" t="s">
        <v>23</v>
      </c>
      <c r="G1" t="s">
        <v>17</v>
      </c>
    </row>
    <row r="2" spans="1:7" x14ac:dyDescent="0.25">
      <c r="A2" s="2" t="s">
        <v>100</v>
      </c>
      <c r="B2" s="5">
        <v>16037.560100000001</v>
      </c>
      <c r="C2" s="5"/>
      <c r="D2" s="5">
        <v>17600</v>
      </c>
      <c r="E2" s="6">
        <v>0.91122500568181819</v>
      </c>
      <c r="F2" s="4"/>
      <c r="G2" s="4">
        <v>9.8106301095015072E-2</v>
      </c>
    </row>
    <row r="3" spans="1:7" x14ac:dyDescent="0.25">
      <c r="A3" s="2" t="s">
        <v>101</v>
      </c>
      <c r="B3" s="5">
        <v>14900.602199999999</v>
      </c>
      <c r="C3" s="5">
        <v>16037.560100000004</v>
      </c>
      <c r="D3" s="5">
        <v>16500</v>
      </c>
      <c r="E3" s="6">
        <v>0.90306679999999995</v>
      </c>
      <c r="F3" s="4">
        <v>-7.089344594256608E-2</v>
      </c>
      <c r="G3" s="4">
        <v>9.768117291259544E-2</v>
      </c>
    </row>
    <row r="4" spans="1:7" x14ac:dyDescent="0.25">
      <c r="A4" s="2" t="s">
        <v>102</v>
      </c>
      <c r="B4" s="5">
        <v>16853.375800000002</v>
      </c>
      <c r="C4" s="5">
        <v>14900.602200000001</v>
      </c>
      <c r="D4" s="5">
        <v>18700</v>
      </c>
      <c r="E4" s="6">
        <v>0.90125004278074872</v>
      </c>
      <c r="F4" s="4">
        <v>0.13105333420685508</v>
      </c>
      <c r="G4" s="4">
        <v>9.8500930596943065E-2</v>
      </c>
    </row>
    <row r="5" spans="1:7" x14ac:dyDescent="0.25">
      <c r="A5" s="2" t="s">
        <v>103</v>
      </c>
      <c r="B5" s="5">
        <v>22928.3361</v>
      </c>
      <c r="C5" s="5">
        <v>16853.375800000005</v>
      </c>
      <c r="D5" s="5">
        <v>18600</v>
      </c>
      <c r="E5" s="6">
        <v>1.2327062419354839</v>
      </c>
      <c r="F5" s="4">
        <v>0.36045955256038337</v>
      </c>
      <c r="G5" s="4">
        <v>7.1979994222083996E-2</v>
      </c>
    </row>
    <row r="6" spans="1:7" x14ac:dyDescent="0.25">
      <c r="A6" s="2" t="s">
        <v>104</v>
      </c>
      <c r="B6" s="5">
        <v>27895.9535</v>
      </c>
      <c r="C6" s="5">
        <v>22928.3361</v>
      </c>
      <c r="D6" s="5">
        <v>19800</v>
      </c>
      <c r="E6" s="6">
        <v>1.4088865404040405</v>
      </c>
      <c r="F6" s="4">
        <v>0.21665843427687712</v>
      </c>
      <c r="G6" s="4">
        <v>6.3156708373492243E-2</v>
      </c>
    </row>
    <row r="7" spans="1:7" x14ac:dyDescent="0.25">
      <c r="A7" s="2" t="s">
        <v>105</v>
      </c>
      <c r="B7" s="5">
        <v>27048.255000000001</v>
      </c>
      <c r="C7" s="5">
        <v>27895.953500000007</v>
      </c>
      <c r="D7" s="5">
        <v>19800</v>
      </c>
      <c r="E7" s="6">
        <v>1.366073484848485</v>
      </c>
      <c r="F7" s="4">
        <v>-3.0387866111119152E-2</v>
      </c>
      <c r="G7" s="4">
        <v>6.5059831031613682E-2</v>
      </c>
    </row>
    <row r="8" spans="1:7" x14ac:dyDescent="0.25">
      <c r="A8" s="2" t="s">
        <v>131</v>
      </c>
      <c r="B8" s="5">
        <v>125664.0827</v>
      </c>
      <c r="C8" s="5"/>
      <c r="D8" s="5">
        <v>111000</v>
      </c>
      <c r="E8" s="6">
        <v>1.1321088531531531</v>
      </c>
      <c r="F8" s="4"/>
      <c r="G8" s="4">
        <v>7.847047452326647E-2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73CA-7076-4CEB-A94E-E4366B2C9DFD}">
  <dimension ref="A1:E115"/>
  <sheetViews>
    <sheetView workbookViewId="0">
      <selection sqref="A1:A1048576"/>
    </sheetView>
  </sheetViews>
  <sheetFormatPr defaultRowHeight="15" x14ac:dyDescent="0.25"/>
  <cols>
    <col min="1" max="1" width="14.140625" style="8" bestFit="1" customWidth="1"/>
    <col min="2" max="2" width="8.7109375" bestFit="1" customWidth="1"/>
    <col min="3" max="3" width="18.28515625" bestFit="1" customWidth="1"/>
    <col min="4" max="4" width="14.85546875" bestFit="1" customWidth="1"/>
    <col min="5" max="5" width="11" bestFit="1" customWidth="1"/>
  </cols>
  <sheetData>
    <row r="1" spans="1:5" x14ac:dyDescent="0.25">
      <c r="A1" s="8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s="8">
        <v>46023</v>
      </c>
      <c r="B2" t="s">
        <v>7</v>
      </c>
      <c r="C2" t="s">
        <v>29</v>
      </c>
      <c r="D2" t="s">
        <v>30</v>
      </c>
      <c r="E2">
        <v>343.00649999999979</v>
      </c>
    </row>
    <row r="3" spans="1:5" x14ac:dyDescent="0.25">
      <c r="A3" s="8">
        <v>46023</v>
      </c>
      <c r="B3" t="s">
        <v>7</v>
      </c>
      <c r="C3" t="s">
        <v>31</v>
      </c>
      <c r="D3" t="s">
        <v>30</v>
      </c>
      <c r="E3">
        <v>319.08279999999991</v>
      </c>
    </row>
    <row r="4" spans="1:5" x14ac:dyDescent="0.25">
      <c r="A4" s="8">
        <v>46023</v>
      </c>
      <c r="B4" t="s">
        <v>7</v>
      </c>
      <c r="C4" t="s">
        <v>32</v>
      </c>
      <c r="D4" t="s">
        <v>30</v>
      </c>
      <c r="E4">
        <v>217.32079999999993</v>
      </c>
    </row>
    <row r="5" spans="1:5" x14ac:dyDescent="0.25">
      <c r="A5" s="8">
        <v>46023</v>
      </c>
      <c r="B5" t="s">
        <v>7</v>
      </c>
      <c r="C5" t="s">
        <v>33</v>
      </c>
      <c r="D5" t="s">
        <v>30</v>
      </c>
      <c r="E5">
        <v>1490.7698</v>
      </c>
    </row>
    <row r="6" spans="1:5" x14ac:dyDescent="0.25">
      <c r="A6" s="8">
        <v>46023</v>
      </c>
      <c r="B6" t="s">
        <v>7</v>
      </c>
      <c r="C6" t="s">
        <v>34</v>
      </c>
      <c r="D6" t="s">
        <v>30</v>
      </c>
      <c r="E6">
        <v>1802.6966000000002</v>
      </c>
    </row>
    <row r="7" spans="1:5" x14ac:dyDescent="0.25">
      <c r="A7" s="8">
        <v>46023</v>
      </c>
      <c r="B7" t="s">
        <v>7</v>
      </c>
      <c r="C7" t="s">
        <v>35</v>
      </c>
      <c r="D7" t="s">
        <v>30</v>
      </c>
      <c r="E7">
        <v>119.96260000000002</v>
      </c>
    </row>
    <row r="8" spans="1:5" x14ac:dyDescent="0.25">
      <c r="A8" s="8">
        <v>46023</v>
      </c>
      <c r="B8" t="s">
        <v>4</v>
      </c>
      <c r="C8" t="s">
        <v>29</v>
      </c>
      <c r="D8" t="s">
        <v>36</v>
      </c>
      <c r="E8">
        <v>116.3737</v>
      </c>
    </row>
    <row r="9" spans="1:5" x14ac:dyDescent="0.25">
      <c r="A9" s="8">
        <v>46023</v>
      </c>
      <c r="B9" t="s">
        <v>4</v>
      </c>
      <c r="C9" t="s">
        <v>29</v>
      </c>
      <c r="D9" t="s">
        <v>30</v>
      </c>
      <c r="E9">
        <v>119.58009999999999</v>
      </c>
    </row>
    <row r="10" spans="1:5" x14ac:dyDescent="0.25">
      <c r="A10" s="8">
        <v>46023</v>
      </c>
      <c r="B10" t="s">
        <v>4</v>
      </c>
      <c r="C10" t="s">
        <v>31</v>
      </c>
      <c r="D10" t="s">
        <v>30</v>
      </c>
      <c r="E10">
        <v>945.8972</v>
      </c>
    </row>
    <row r="11" spans="1:5" x14ac:dyDescent="0.25">
      <c r="A11" s="8">
        <v>46023</v>
      </c>
      <c r="B11" t="s">
        <v>4</v>
      </c>
      <c r="C11" t="s">
        <v>31</v>
      </c>
      <c r="D11" t="s">
        <v>36</v>
      </c>
      <c r="E11">
        <v>515.37689999999998</v>
      </c>
    </row>
    <row r="12" spans="1:5" x14ac:dyDescent="0.25">
      <c r="A12" s="8">
        <v>46023</v>
      </c>
      <c r="B12" t="s">
        <v>4</v>
      </c>
      <c r="C12" t="s">
        <v>32</v>
      </c>
      <c r="D12" t="s">
        <v>36</v>
      </c>
      <c r="E12">
        <v>228.13629999999998</v>
      </c>
    </row>
    <row r="13" spans="1:5" x14ac:dyDescent="0.25">
      <c r="A13" s="8">
        <v>46023</v>
      </c>
      <c r="B13" t="s">
        <v>4</v>
      </c>
      <c r="C13" t="s">
        <v>32</v>
      </c>
      <c r="D13" t="s">
        <v>30</v>
      </c>
      <c r="E13">
        <v>168.45990000000009</v>
      </c>
    </row>
    <row r="14" spans="1:5" x14ac:dyDescent="0.25">
      <c r="A14" s="8">
        <v>46023</v>
      </c>
      <c r="B14" t="s">
        <v>4</v>
      </c>
      <c r="C14" t="s">
        <v>33</v>
      </c>
      <c r="D14" t="s">
        <v>36</v>
      </c>
      <c r="E14">
        <v>713.49879999999985</v>
      </c>
    </row>
    <row r="15" spans="1:5" x14ac:dyDescent="0.25">
      <c r="A15" s="8">
        <v>46023</v>
      </c>
      <c r="B15" t="s">
        <v>4</v>
      </c>
      <c r="C15" t="s">
        <v>33</v>
      </c>
      <c r="D15" t="s">
        <v>30</v>
      </c>
      <c r="E15">
        <v>2624.7720999999988</v>
      </c>
    </row>
    <row r="16" spans="1:5" x14ac:dyDescent="0.25">
      <c r="A16" s="8">
        <v>46023</v>
      </c>
      <c r="B16" t="s">
        <v>10</v>
      </c>
      <c r="C16" t="s">
        <v>31</v>
      </c>
      <c r="D16" t="s">
        <v>30</v>
      </c>
      <c r="E16">
        <v>719.50139999999988</v>
      </c>
    </row>
    <row r="17" spans="1:5" x14ac:dyDescent="0.25">
      <c r="A17" s="8">
        <v>46023</v>
      </c>
      <c r="B17" t="s">
        <v>10</v>
      </c>
      <c r="C17" t="s">
        <v>32</v>
      </c>
      <c r="D17" t="s">
        <v>30</v>
      </c>
      <c r="E17">
        <v>580.15470000000028</v>
      </c>
    </row>
    <row r="18" spans="1:5" x14ac:dyDescent="0.25">
      <c r="A18" s="8">
        <v>46023</v>
      </c>
      <c r="B18" t="s">
        <v>10</v>
      </c>
      <c r="C18" t="s">
        <v>33</v>
      </c>
      <c r="D18" t="s">
        <v>30</v>
      </c>
      <c r="E18">
        <v>1769.9537000000005</v>
      </c>
    </row>
    <row r="19" spans="1:5" x14ac:dyDescent="0.25">
      <c r="A19" s="8">
        <v>46023</v>
      </c>
      <c r="B19" t="s">
        <v>10</v>
      </c>
      <c r="C19" t="s">
        <v>34</v>
      </c>
      <c r="D19" t="s">
        <v>30</v>
      </c>
      <c r="E19">
        <v>2942.1311000000005</v>
      </c>
    </row>
    <row r="20" spans="1:5" x14ac:dyDescent="0.25">
      <c r="A20" s="8">
        <v>46023</v>
      </c>
      <c r="B20" t="s">
        <v>10</v>
      </c>
      <c r="C20" t="s">
        <v>35</v>
      </c>
      <c r="D20" t="s">
        <v>30</v>
      </c>
      <c r="E20">
        <v>300.88510000000014</v>
      </c>
    </row>
    <row r="21" spans="1:5" x14ac:dyDescent="0.25">
      <c r="A21" s="8">
        <v>46054</v>
      </c>
      <c r="B21" t="s">
        <v>7</v>
      </c>
      <c r="C21" t="s">
        <v>29</v>
      </c>
      <c r="D21" t="s">
        <v>30</v>
      </c>
      <c r="E21">
        <v>312.34540000000015</v>
      </c>
    </row>
    <row r="22" spans="1:5" x14ac:dyDescent="0.25">
      <c r="A22" s="8">
        <v>46054</v>
      </c>
      <c r="B22" t="s">
        <v>7</v>
      </c>
      <c r="C22" t="s">
        <v>31</v>
      </c>
      <c r="D22" t="s">
        <v>30</v>
      </c>
      <c r="E22">
        <v>302.90750000000014</v>
      </c>
    </row>
    <row r="23" spans="1:5" x14ac:dyDescent="0.25">
      <c r="A23" s="8">
        <v>46054</v>
      </c>
      <c r="B23" t="s">
        <v>7</v>
      </c>
      <c r="C23" t="s">
        <v>32</v>
      </c>
      <c r="D23" t="s">
        <v>30</v>
      </c>
      <c r="E23">
        <v>199.12320000000005</v>
      </c>
    </row>
    <row r="24" spans="1:5" x14ac:dyDescent="0.25">
      <c r="A24" s="8">
        <v>46054</v>
      </c>
      <c r="B24" t="s">
        <v>7</v>
      </c>
      <c r="C24" t="s">
        <v>33</v>
      </c>
      <c r="D24" t="s">
        <v>30</v>
      </c>
      <c r="E24">
        <v>1372.5358000000001</v>
      </c>
    </row>
    <row r="25" spans="1:5" x14ac:dyDescent="0.25">
      <c r="A25" s="8">
        <v>46054</v>
      </c>
      <c r="B25" t="s">
        <v>7</v>
      </c>
      <c r="C25" t="s">
        <v>34</v>
      </c>
      <c r="D25" t="s">
        <v>30</v>
      </c>
      <c r="E25">
        <v>1668.2234000000001</v>
      </c>
    </row>
    <row r="26" spans="1:5" x14ac:dyDescent="0.25">
      <c r="A26" s="8">
        <v>46054</v>
      </c>
      <c r="B26" t="s">
        <v>7</v>
      </c>
      <c r="C26" t="s">
        <v>35</v>
      </c>
      <c r="D26" t="s">
        <v>30</v>
      </c>
      <c r="E26">
        <v>108.85269999999997</v>
      </c>
    </row>
    <row r="27" spans="1:5" x14ac:dyDescent="0.25">
      <c r="A27" s="8">
        <v>46054</v>
      </c>
      <c r="B27" t="s">
        <v>4</v>
      </c>
      <c r="C27" t="s">
        <v>29</v>
      </c>
      <c r="D27" t="s">
        <v>30</v>
      </c>
      <c r="E27">
        <v>110.94180000000003</v>
      </c>
    </row>
    <row r="28" spans="1:5" x14ac:dyDescent="0.25">
      <c r="A28" s="8">
        <v>46054</v>
      </c>
      <c r="B28" t="s">
        <v>4</v>
      </c>
      <c r="C28" t="s">
        <v>29</v>
      </c>
      <c r="D28" t="s">
        <v>36</v>
      </c>
      <c r="E28">
        <v>110.72859999999999</v>
      </c>
    </row>
    <row r="29" spans="1:5" x14ac:dyDescent="0.25">
      <c r="A29" s="8">
        <v>46054</v>
      </c>
      <c r="B29" t="s">
        <v>4</v>
      </c>
      <c r="C29" t="s">
        <v>31</v>
      </c>
      <c r="D29" t="s">
        <v>36</v>
      </c>
      <c r="E29">
        <v>475.43659999999988</v>
      </c>
    </row>
    <row r="30" spans="1:5" x14ac:dyDescent="0.25">
      <c r="A30" s="8">
        <v>46054</v>
      </c>
      <c r="B30" t="s">
        <v>4</v>
      </c>
      <c r="C30" t="s">
        <v>31</v>
      </c>
      <c r="D30" t="s">
        <v>30</v>
      </c>
      <c r="E30">
        <v>882.8435000000004</v>
      </c>
    </row>
    <row r="31" spans="1:5" x14ac:dyDescent="0.25">
      <c r="A31" s="8">
        <v>46054</v>
      </c>
      <c r="B31" t="s">
        <v>4</v>
      </c>
      <c r="C31" t="s">
        <v>32</v>
      </c>
      <c r="D31" t="s">
        <v>30</v>
      </c>
      <c r="E31">
        <v>158.8698</v>
      </c>
    </row>
    <row r="32" spans="1:5" x14ac:dyDescent="0.25">
      <c r="A32" s="8">
        <v>46054</v>
      </c>
      <c r="B32" t="s">
        <v>4</v>
      </c>
      <c r="C32" t="s">
        <v>32</v>
      </c>
      <c r="D32" t="s">
        <v>36</v>
      </c>
      <c r="E32">
        <v>219.01000000000005</v>
      </c>
    </row>
    <row r="33" spans="1:5" x14ac:dyDescent="0.25">
      <c r="A33" s="8">
        <v>46054</v>
      </c>
      <c r="B33" t="s">
        <v>4</v>
      </c>
      <c r="C33" t="s">
        <v>33</v>
      </c>
      <c r="D33" t="s">
        <v>36</v>
      </c>
      <c r="E33">
        <v>650.33309999999994</v>
      </c>
    </row>
    <row r="34" spans="1:5" x14ac:dyDescent="0.25">
      <c r="A34" s="8">
        <v>46054</v>
      </c>
      <c r="B34" t="s">
        <v>4</v>
      </c>
      <c r="C34" t="s">
        <v>33</v>
      </c>
      <c r="D34" t="s">
        <v>30</v>
      </c>
      <c r="E34">
        <v>2463.8516</v>
      </c>
    </row>
    <row r="35" spans="1:5" x14ac:dyDescent="0.25">
      <c r="A35" s="8">
        <v>46054</v>
      </c>
      <c r="B35" t="s">
        <v>10</v>
      </c>
      <c r="C35" t="s">
        <v>31</v>
      </c>
      <c r="D35" t="s">
        <v>30</v>
      </c>
      <c r="E35">
        <v>664.18770000000006</v>
      </c>
    </row>
    <row r="36" spans="1:5" x14ac:dyDescent="0.25">
      <c r="A36" s="8">
        <v>46054</v>
      </c>
      <c r="B36" t="s">
        <v>10</v>
      </c>
      <c r="C36" t="s">
        <v>32</v>
      </c>
      <c r="D36" t="s">
        <v>30</v>
      </c>
      <c r="E36">
        <v>538.16840000000013</v>
      </c>
    </row>
    <row r="37" spans="1:5" x14ac:dyDescent="0.25">
      <c r="A37" s="8">
        <v>46054</v>
      </c>
      <c r="B37" t="s">
        <v>10</v>
      </c>
      <c r="C37" t="s">
        <v>33</v>
      </c>
      <c r="D37" t="s">
        <v>30</v>
      </c>
      <c r="E37">
        <v>1647.2136999999998</v>
      </c>
    </row>
    <row r="38" spans="1:5" x14ac:dyDescent="0.25">
      <c r="A38" s="8">
        <v>46054</v>
      </c>
      <c r="B38" t="s">
        <v>10</v>
      </c>
      <c r="C38" t="s">
        <v>34</v>
      </c>
      <c r="D38" t="s">
        <v>30</v>
      </c>
      <c r="E38">
        <v>2728.9215999999997</v>
      </c>
    </row>
    <row r="39" spans="1:5" x14ac:dyDescent="0.25">
      <c r="A39" s="8">
        <v>46054</v>
      </c>
      <c r="B39" t="s">
        <v>10</v>
      </c>
      <c r="C39" t="s">
        <v>35</v>
      </c>
      <c r="D39" t="s">
        <v>30</v>
      </c>
      <c r="E39">
        <v>286.1078</v>
      </c>
    </row>
    <row r="40" spans="1:5" x14ac:dyDescent="0.25">
      <c r="A40" s="8">
        <v>46082</v>
      </c>
      <c r="B40" t="s">
        <v>7</v>
      </c>
      <c r="C40" t="s">
        <v>29</v>
      </c>
      <c r="D40" t="s">
        <v>30</v>
      </c>
      <c r="E40">
        <v>361.88610000000017</v>
      </c>
    </row>
    <row r="41" spans="1:5" x14ac:dyDescent="0.25">
      <c r="A41" s="8">
        <v>46082</v>
      </c>
      <c r="B41" t="s">
        <v>7</v>
      </c>
      <c r="C41" t="s">
        <v>31</v>
      </c>
      <c r="D41" t="s">
        <v>30</v>
      </c>
      <c r="E41">
        <v>341.41669999999999</v>
      </c>
    </row>
    <row r="42" spans="1:5" x14ac:dyDescent="0.25">
      <c r="A42" s="8">
        <v>46082</v>
      </c>
      <c r="B42" t="s">
        <v>7</v>
      </c>
      <c r="C42" t="s">
        <v>32</v>
      </c>
      <c r="D42" t="s">
        <v>30</v>
      </c>
      <c r="E42">
        <v>226.71459999999999</v>
      </c>
    </row>
    <row r="43" spans="1:5" x14ac:dyDescent="0.25">
      <c r="A43" s="8">
        <v>46082</v>
      </c>
      <c r="B43" t="s">
        <v>7</v>
      </c>
      <c r="C43" t="s">
        <v>33</v>
      </c>
      <c r="D43" t="s">
        <v>30</v>
      </c>
      <c r="E43">
        <v>1546.9486000000004</v>
      </c>
    </row>
    <row r="44" spans="1:5" x14ac:dyDescent="0.25">
      <c r="A44" s="8">
        <v>46082</v>
      </c>
      <c r="B44" t="s">
        <v>7</v>
      </c>
      <c r="C44" t="s">
        <v>34</v>
      </c>
      <c r="D44" t="s">
        <v>30</v>
      </c>
      <c r="E44">
        <v>1899.8899000000001</v>
      </c>
    </row>
    <row r="45" spans="1:5" x14ac:dyDescent="0.25">
      <c r="A45" s="8">
        <v>46082</v>
      </c>
      <c r="B45" t="s">
        <v>7</v>
      </c>
      <c r="C45" t="s">
        <v>35</v>
      </c>
      <c r="D45" t="s">
        <v>30</v>
      </c>
      <c r="E45">
        <v>124.98040000000002</v>
      </c>
    </row>
    <row r="46" spans="1:5" x14ac:dyDescent="0.25">
      <c r="A46" s="8">
        <v>46082</v>
      </c>
      <c r="B46" t="s">
        <v>4</v>
      </c>
      <c r="C46" t="s">
        <v>29</v>
      </c>
      <c r="D46" t="s">
        <v>30</v>
      </c>
      <c r="E46">
        <v>130.52020000000002</v>
      </c>
    </row>
    <row r="47" spans="1:5" x14ac:dyDescent="0.25">
      <c r="A47" s="8">
        <v>46082</v>
      </c>
      <c r="B47" t="s">
        <v>4</v>
      </c>
      <c r="C47" t="s">
        <v>29</v>
      </c>
      <c r="D47" t="s">
        <v>36</v>
      </c>
      <c r="E47">
        <v>127.18969999999999</v>
      </c>
    </row>
    <row r="48" spans="1:5" x14ac:dyDescent="0.25">
      <c r="A48" s="8">
        <v>46082</v>
      </c>
      <c r="B48" t="s">
        <v>4</v>
      </c>
      <c r="C48" t="s">
        <v>31</v>
      </c>
      <c r="D48" t="s">
        <v>30</v>
      </c>
      <c r="E48">
        <v>1009.5277999999998</v>
      </c>
    </row>
    <row r="49" spans="1:5" x14ac:dyDescent="0.25">
      <c r="A49" s="8">
        <v>46082</v>
      </c>
      <c r="B49" t="s">
        <v>4</v>
      </c>
      <c r="C49" t="s">
        <v>31</v>
      </c>
      <c r="D49" t="s">
        <v>36</v>
      </c>
      <c r="E49">
        <v>542.75059999999985</v>
      </c>
    </row>
    <row r="50" spans="1:5" x14ac:dyDescent="0.25">
      <c r="A50" s="8">
        <v>46082</v>
      </c>
      <c r="B50" t="s">
        <v>4</v>
      </c>
      <c r="C50" t="s">
        <v>32</v>
      </c>
      <c r="D50" t="s">
        <v>30</v>
      </c>
      <c r="E50">
        <v>180.35389999999998</v>
      </c>
    </row>
    <row r="51" spans="1:5" x14ac:dyDescent="0.25">
      <c r="A51" s="8">
        <v>46082</v>
      </c>
      <c r="B51" t="s">
        <v>4</v>
      </c>
      <c r="C51" t="s">
        <v>32</v>
      </c>
      <c r="D51" t="s">
        <v>36</v>
      </c>
      <c r="E51">
        <v>244.7133</v>
      </c>
    </row>
    <row r="52" spans="1:5" x14ac:dyDescent="0.25">
      <c r="A52" s="8">
        <v>46082</v>
      </c>
      <c r="B52" t="s">
        <v>4</v>
      </c>
      <c r="C52" t="s">
        <v>33</v>
      </c>
      <c r="D52" t="s">
        <v>36</v>
      </c>
      <c r="E52">
        <v>745.41959999999995</v>
      </c>
    </row>
    <row r="53" spans="1:5" x14ac:dyDescent="0.25">
      <c r="A53" s="8">
        <v>46082</v>
      </c>
      <c r="B53" t="s">
        <v>4</v>
      </c>
      <c r="C53" t="s">
        <v>33</v>
      </c>
      <c r="D53" t="s">
        <v>30</v>
      </c>
      <c r="E53">
        <v>2776.2742999999996</v>
      </c>
    </row>
    <row r="54" spans="1:5" x14ac:dyDescent="0.25">
      <c r="A54" s="8">
        <v>46082</v>
      </c>
      <c r="B54" t="s">
        <v>10</v>
      </c>
      <c r="C54" t="s">
        <v>31</v>
      </c>
      <c r="D54" t="s">
        <v>30</v>
      </c>
      <c r="E54">
        <v>745.51780000000042</v>
      </c>
    </row>
    <row r="55" spans="1:5" x14ac:dyDescent="0.25">
      <c r="A55" s="8">
        <v>46082</v>
      </c>
      <c r="B55" t="s">
        <v>10</v>
      </c>
      <c r="C55" t="s">
        <v>32</v>
      </c>
      <c r="D55" t="s">
        <v>30</v>
      </c>
      <c r="E55">
        <v>608.70319999999981</v>
      </c>
    </row>
    <row r="56" spans="1:5" x14ac:dyDescent="0.25">
      <c r="A56" s="8">
        <v>46082</v>
      </c>
      <c r="B56" t="s">
        <v>10</v>
      </c>
      <c r="C56" t="s">
        <v>33</v>
      </c>
      <c r="D56" t="s">
        <v>30</v>
      </c>
      <c r="E56">
        <v>1839.7319000000005</v>
      </c>
    </row>
    <row r="57" spans="1:5" x14ac:dyDescent="0.25">
      <c r="A57" s="8">
        <v>46082</v>
      </c>
      <c r="B57" t="s">
        <v>10</v>
      </c>
      <c r="C57" t="s">
        <v>34</v>
      </c>
      <c r="D57" t="s">
        <v>30</v>
      </c>
      <c r="E57">
        <v>3069.6696000000002</v>
      </c>
    </row>
    <row r="58" spans="1:5" x14ac:dyDescent="0.25">
      <c r="A58" s="8">
        <v>46082</v>
      </c>
      <c r="B58" t="s">
        <v>10</v>
      </c>
      <c r="C58" t="s">
        <v>35</v>
      </c>
      <c r="D58" t="s">
        <v>30</v>
      </c>
      <c r="E58">
        <v>331.16760000000005</v>
      </c>
    </row>
    <row r="59" spans="1:5" x14ac:dyDescent="0.25">
      <c r="A59" s="8">
        <v>46113</v>
      </c>
      <c r="B59" t="s">
        <v>7</v>
      </c>
      <c r="C59" t="s">
        <v>29</v>
      </c>
      <c r="D59" t="s">
        <v>30</v>
      </c>
      <c r="E59">
        <v>361.49069999999983</v>
      </c>
    </row>
    <row r="60" spans="1:5" x14ac:dyDescent="0.25">
      <c r="A60" s="8">
        <v>46113</v>
      </c>
      <c r="B60" t="s">
        <v>7</v>
      </c>
      <c r="C60" t="s">
        <v>31</v>
      </c>
      <c r="D60" t="s">
        <v>30</v>
      </c>
      <c r="E60">
        <v>339.86270000000007</v>
      </c>
    </row>
    <row r="61" spans="1:5" x14ac:dyDescent="0.25">
      <c r="A61" s="8">
        <v>46113</v>
      </c>
      <c r="B61" t="s">
        <v>7</v>
      </c>
      <c r="C61" t="s">
        <v>32</v>
      </c>
      <c r="D61" t="s">
        <v>30</v>
      </c>
      <c r="E61">
        <v>221.69390000000001</v>
      </c>
    </row>
    <row r="62" spans="1:5" x14ac:dyDescent="0.25">
      <c r="A62" s="8">
        <v>46113</v>
      </c>
      <c r="B62" t="s">
        <v>7</v>
      </c>
      <c r="C62" t="s">
        <v>33</v>
      </c>
      <c r="D62" t="s">
        <v>30</v>
      </c>
      <c r="E62">
        <v>7612.9703999999992</v>
      </c>
    </row>
    <row r="63" spans="1:5" x14ac:dyDescent="0.25">
      <c r="A63" s="8">
        <v>46113</v>
      </c>
      <c r="B63" t="s">
        <v>7</v>
      </c>
      <c r="C63" t="s">
        <v>34</v>
      </c>
      <c r="D63" t="s">
        <v>30</v>
      </c>
      <c r="E63">
        <v>1909.9430999999997</v>
      </c>
    </row>
    <row r="64" spans="1:5" x14ac:dyDescent="0.25">
      <c r="A64" s="8">
        <v>46113</v>
      </c>
      <c r="B64" t="s">
        <v>7</v>
      </c>
      <c r="C64" t="s">
        <v>35</v>
      </c>
      <c r="D64" t="s">
        <v>30</v>
      </c>
      <c r="E64">
        <v>127.02939999999998</v>
      </c>
    </row>
    <row r="65" spans="1:5" x14ac:dyDescent="0.25">
      <c r="A65" s="8">
        <v>46113</v>
      </c>
      <c r="B65" t="s">
        <v>4</v>
      </c>
      <c r="C65" t="s">
        <v>29</v>
      </c>
      <c r="D65" t="s">
        <v>30</v>
      </c>
      <c r="E65">
        <v>127.92149999999999</v>
      </c>
    </row>
    <row r="66" spans="1:5" x14ac:dyDescent="0.25">
      <c r="A66" s="8">
        <v>46113</v>
      </c>
      <c r="B66" t="s">
        <v>4</v>
      </c>
      <c r="C66" t="s">
        <v>29</v>
      </c>
      <c r="D66" t="s">
        <v>36</v>
      </c>
      <c r="E66">
        <v>126.0069</v>
      </c>
    </row>
    <row r="67" spans="1:5" x14ac:dyDescent="0.25">
      <c r="A67" s="8">
        <v>46113</v>
      </c>
      <c r="B67" t="s">
        <v>4</v>
      </c>
      <c r="C67" t="s">
        <v>31</v>
      </c>
      <c r="D67" t="s">
        <v>36</v>
      </c>
      <c r="E67">
        <v>542.05889999999999</v>
      </c>
    </row>
    <row r="68" spans="1:5" x14ac:dyDescent="0.25">
      <c r="A68" s="8">
        <v>46113</v>
      </c>
      <c r="B68" t="s">
        <v>4</v>
      </c>
      <c r="C68" t="s">
        <v>31</v>
      </c>
      <c r="D68" t="s">
        <v>30</v>
      </c>
      <c r="E68">
        <v>1012.3290000000001</v>
      </c>
    </row>
    <row r="69" spans="1:5" x14ac:dyDescent="0.25">
      <c r="A69" s="8">
        <v>46113</v>
      </c>
      <c r="B69" t="s">
        <v>4</v>
      </c>
      <c r="C69" t="s">
        <v>32</v>
      </c>
      <c r="D69" t="s">
        <v>36</v>
      </c>
      <c r="E69">
        <v>245.50199999999995</v>
      </c>
    </row>
    <row r="70" spans="1:5" x14ac:dyDescent="0.25">
      <c r="A70" s="8">
        <v>46113</v>
      </c>
      <c r="B70" t="s">
        <v>4</v>
      </c>
      <c r="C70" t="s">
        <v>32</v>
      </c>
      <c r="D70" t="s">
        <v>30</v>
      </c>
      <c r="E70">
        <v>183.12769999999992</v>
      </c>
    </row>
    <row r="71" spans="1:5" x14ac:dyDescent="0.25">
      <c r="A71" s="8">
        <v>46113</v>
      </c>
      <c r="B71" t="s">
        <v>4</v>
      </c>
      <c r="C71" t="s">
        <v>33</v>
      </c>
      <c r="D71" t="s">
        <v>30</v>
      </c>
      <c r="E71">
        <v>2793.4883999999993</v>
      </c>
    </row>
    <row r="72" spans="1:5" x14ac:dyDescent="0.25">
      <c r="A72" s="8">
        <v>46113</v>
      </c>
      <c r="B72" t="s">
        <v>4</v>
      </c>
      <c r="C72" t="s">
        <v>33</v>
      </c>
      <c r="D72" t="s">
        <v>36</v>
      </c>
      <c r="E72">
        <v>736.81370000000004</v>
      </c>
    </row>
    <row r="73" spans="1:5" x14ac:dyDescent="0.25">
      <c r="A73" s="8">
        <v>46113</v>
      </c>
      <c r="B73" t="s">
        <v>10</v>
      </c>
      <c r="C73" t="s">
        <v>31</v>
      </c>
      <c r="D73" t="s">
        <v>30</v>
      </c>
      <c r="E73">
        <v>750.79640000000029</v>
      </c>
    </row>
    <row r="74" spans="1:5" x14ac:dyDescent="0.25">
      <c r="A74" s="8">
        <v>46113</v>
      </c>
      <c r="B74" t="s">
        <v>10</v>
      </c>
      <c r="C74" t="s">
        <v>32</v>
      </c>
      <c r="D74" t="s">
        <v>30</v>
      </c>
      <c r="E74">
        <v>598.38810000000024</v>
      </c>
    </row>
    <row r="75" spans="1:5" x14ac:dyDescent="0.25">
      <c r="A75" s="8">
        <v>46113</v>
      </c>
      <c r="B75" t="s">
        <v>10</v>
      </c>
      <c r="C75" t="s">
        <v>33</v>
      </c>
      <c r="D75" t="s">
        <v>30</v>
      </c>
      <c r="E75">
        <v>1847.4174999999993</v>
      </c>
    </row>
    <row r="76" spans="1:5" x14ac:dyDescent="0.25">
      <c r="A76" s="8">
        <v>46113</v>
      </c>
      <c r="B76" t="s">
        <v>10</v>
      </c>
      <c r="C76" t="s">
        <v>34</v>
      </c>
      <c r="D76" t="s">
        <v>30</v>
      </c>
      <c r="E76">
        <v>3073.806</v>
      </c>
    </row>
    <row r="77" spans="1:5" x14ac:dyDescent="0.25">
      <c r="A77" s="8">
        <v>46113</v>
      </c>
      <c r="B77" t="s">
        <v>10</v>
      </c>
      <c r="C77" t="s">
        <v>35</v>
      </c>
      <c r="D77" t="s">
        <v>30</v>
      </c>
      <c r="E77">
        <v>317.6898000000001</v>
      </c>
    </row>
    <row r="78" spans="1:5" x14ac:dyDescent="0.25">
      <c r="A78" s="8">
        <v>46143</v>
      </c>
      <c r="B78" t="s">
        <v>7</v>
      </c>
      <c r="C78" t="s">
        <v>29</v>
      </c>
      <c r="D78" t="s">
        <v>30</v>
      </c>
      <c r="E78">
        <v>376.23840000000013</v>
      </c>
    </row>
    <row r="79" spans="1:5" x14ac:dyDescent="0.25">
      <c r="A79" s="8">
        <v>46143</v>
      </c>
      <c r="B79" t="s">
        <v>7</v>
      </c>
      <c r="C79" t="s">
        <v>31</v>
      </c>
      <c r="D79" t="s">
        <v>30</v>
      </c>
      <c r="E79">
        <v>362.54640000000001</v>
      </c>
    </row>
    <row r="80" spans="1:5" x14ac:dyDescent="0.25">
      <c r="A80" s="8">
        <v>46143</v>
      </c>
      <c r="B80" t="s">
        <v>7</v>
      </c>
      <c r="C80" t="s">
        <v>32</v>
      </c>
      <c r="D80" t="s">
        <v>30</v>
      </c>
      <c r="E80">
        <v>243.31399999999994</v>
      </c>
    </row>
    <row r="81" spans="1:5" x14ac:dyDescent="0.25">
      <c r="A81" s="8">
        <v>46143</v>
      </c>
      <c r="B81" t="s">
        <v>7</v>
      </c>
      <c r="C81" t="s">
        <v>33</v>
      </c>
      <c r="D81" t="s">
        <v>30</v>
      </c>
      <c r="E81">
        <v>10666.849</v>
      </c>
    </row>
    <row r="82" spans="1:5" x14ac:dyDescent="0.25">
      <c r="A82" s="8">
        <v>46143</v>
      </c>
      <c r="B82" t="s">
        <v>7</v>
      </c>
      <c r="C82" t="s">
        <v>34</v>
      </c>
      <c r="D82" t="s">
        <v>30</v>
      </c>
      <c r="E82">
        <v>2005.6296999999995</v>
      </c>
    </row>
    <row r="83" spans="1:5" x14ac:dyDescent="0.25">
      <c r="A83" s="8">
        <v>46143</v>
      </c>
      <c r="B83" t="s">
        <v>7</v>
      </c>
      <c r="C83" t="s">
        <v>35</v>
      </c>
      <c r="D83" t="s">
        <v>30</v>
      </c>
      <c r="E83">
        <v>134.17850000000004</v>
      </c>
    </row>
    <row r="84" spans="1:5" x14ac:dyDescent="0.25">
      <c r="A84" s="8">
        <v>46143</v>
      </c>
      <c r="B84" t="s">
        <v>4</v>
      </c>
      <c r="C84" t="s">
        <v>29</v>
      </c>
      <c r="D84" t="s">
        <v>30</v>
      </c>
      <c r="E84">
        <v>134.97829999999996</v>
      </c>
    </row>
    <row r="85" spans="1:5" x14ac:dyDescent="0.25">
      <c r="A85" s="8">
        <v>46143</v>
      </c>
      <c r="B85" t="s">
        <v>4</v>
      </c>
      <c r="C85" t="s">
        <v>29</v>
      </c>
      <c r="D85" t="s">
        <v>36</v>
      </c>
      <c r="E85">
        <v>134.09960000000001</v>
      </c>
    </row>
    <row r="86" spans="1:5" x14ac:dyDescent="0.25">
      <c r="A86" s="8">
        <v>46143</v>
      </c>
      <c r="B86" t="s">
        <v>4</v>
      </c>
      <c r="C86" t="s">
        <v>31</v>
      </c>
      <c r="D86" t="s">
        <v>30</v>
      </c>
      <c r="E86">
        <v>1064.2104999999997</v>
      </c>
    </row>
    <row r="87" spans="1:5" x14ac:dyDescent="0.25">
      <c r="A87" s="8">
        <v>46143</v>
      </c>
      <c r="B87" t="s">
        <v>4</v>
      </c>
      <c r="C87" t="s">
        <v>31</v>
      </c>
      <c r="D87" t="s">
        <v>36</v>
      </c>
      <c r="E87">
        <v>581.47640000000013</v>
      </c>
    </row>
    <row r="88" spans="1:5" x14ac:dyDescent="0.25">
      <c r="A88" s="8">
        <v>46143</v>
      </c>
      <c r="B88" t="s">
        <v>4</v>
      </c>
      <c r="C88" t="s">
        <v>32</v>
      </c>
      <c r="D88" t="s">
        <v>30</v>
      </c>
      <c r="E88">
        <v>190.66950000000003</v>
      </c>
    </row>
    <row r="89" spans="1:5" x14ac:dyDescent="0.25">
      <c r="A89" s="8">
        <v>46143</v>
      </c>
      <c r="B89" t="s">
        <v>4</v>
      </c>
      <c r="C89" t="s">
        <v>32</v>
      </c>
      <c r="D89" t="s">
        <v>36</v>
      </c>
      <c r="E89">
        <v>260.18340000000006</v>
      </c>
    </row>
    <row r="90" spans="1:5" x14ac:dyDescent="0.25">
      <c r="A90" s="8">
        <v>46143</v>
      </c>
      <c r="B90" t="s">
        <v>4</v>
      </c>
      <c r="C90" t="s">
        <v>33</v>
      </c>
      <c r="D90" t="s">
        <v>36</v>
      </c>
      <c r="E90">
        <v>786.05719999999997</v>
      </c>
    </row>
    <row r="91" spans="1:5" x14ac:dyDescent="0.25">
      <c r="A91" s="8">
        <v>46143</v>
      </c>
      <c r="B91" t="s">
        <v>4</v>
      </c>
      <c r="C91" t="s">
        <v>33</v>
      </c>
      <c r="D91" t="s">
        <v>30</v>
      </c>
      <c r="E91">
        <v>3032.8837999999996</v>
      </c>
    </row>
    <row r="92" spans="1:5" x14ac:dyDescent="0.25">
      <c r="A92" s="8">
        <v>46143</v>
      </c>
      <c r="B92" t="s">
        <v>10</v>
      </c>
      <c r="C92" t="s">
        <v>31</v>
      </c>
      <c r="D92" t="s">
        <v>30</v>
      </c>
      <c r="E92">
        <v>1693.6105000000005</v>
      </c>
    </row>
    <row r="93" spans="1:5" x14ac:dyDescent="0.25">
      <c r="A93" s="8">
        <v>46143</v>
      </c>
      <c r="B93" t="s">
        <v>10</v>
      </c>
      <c r="C93" t="s">
        <v>32</v>
      </c>
      <c r="D93" t="s">
        <v>30</v>
      </c>
      <c r="E93">
        <v>647.80790000000002</v>
      </c>
    </row>
    <row r="94" spans="1:5" x14ac:dyDescent="0.25">
      <c r="A94" s="8">
        <v>46143</v>
      </c>
      <c r="B94" t="s">
        <v>10</v>
      </c>
      <c r="C94" t="s">
        <v>33</v>
      </c>
      <c r="D94" t="s">
        <v>30</v>
      </c>
      <c r="E94">
        <v>1952.9425999999996</v>
      </c>
    </row>
    <row r="95" spans="1:5" x14ac:dyDescent="0.25">
      <c r="A95" s="8">
        <v>46143</v>
      </c>
      <c r="B95" t="s">
        <v>10</v>
      </c>
      <c r="C95" t="s">
        <v>34</v>
      </c>
      <c r="D95" t="s">
        <v>30</v>
      </c>
      <c r="E95">
        <v>3289.0209999999997</v>
      </c>
    </row>
    <row r="96" spans="1:5" x14ac:dyDescent="0.25">
      <c r="A96" s="8">
        <v>46143</v>
      </c>
      <c r="B96" t="s">
        <v>10</v>
      </c>
      <c r="C96" t="s">
        <v>35</v>
      </c>
      <c r="D96" t="s">
        <v>30</v>
      </c>
      <c r="E96">
        <v>339.2568</v>
      </c>
    </row>
    <row r="97" spans="1:5" x14ac:dyDescent="0.25">
      <c r="A97" s="8">
        <v>46174</v>
      </c>
      <c r="B97" t="s">
        <v>7</v>
      </c>
      <c r="C97" t="s">
        <v>29</v>
      </c>
      <c r="D97" t="s">
        <v>30</v>
      </c>
      <c r="E97">
        <v>375.91400000000016</v>
      </c>
    </row>
    <row r="98" spans="1:5" x14ac:dyDescent="0.25">
      <c r="A98" s="8">
        <v>46174</v>
      </c>
      <c r="B98" t="s">
        <v>7</v>
      </c>
      <c r="C98" t="s">
        <v>31</v>
      </c>
      <c r="D98" t="s">
        <v>30</v>
      </c>
      <c r="E98">
        <v>360.41169999999988</v>
      </c>
    </row>
    <row r="99" spans="1:5" x14ac:dyDescent="0.25">
      <c r="A99" s="8">
        <v>46174</v>
      </c>
      <c r="B99" t="s">
        <v>7</v>
      </c>
      <c r="C99" t="s">
        <v>32</v>
      </c>
      <c r="D99" t="s">
        <v>30</v>
      </c>
      <c r="E99">
        <v>244.36909999999995</v>
      </c>
    </row>
    <row r="100" spans="1:5" x14ac:dyDescent="0.25">
      <c r="A100" s="8">
        <v>46174</v>
      </c>
      <c r="B100" t="s">
        <v>7</v>
      </c>
      <c r="C100" t="s">
        <v>33</v>
      </c>
      <c r="D100" t="s">
        <v>30</v>
      </c>
      <c r="E100">
        <v>10815.2551</v>
      </c>
    </row>
    <row r="101" spans="1:5" x14ac:dyDescent="0.25">
      <c r="A101" s="8">
        <v>46174</v>
      </c>
      <c r="B101" t="s">
        <v>7</v>
      </c>
      <c r="C101" t="s">
        <v>34</v>
      </c>
      <c r="D101" t="s">
        <v>30</v>
      </c>
      <c r="E101">
        <v>2052.4117999999999</v>
      </c>
    </row>
    <row r="102" spans="1:5" x14ac:dyDescent="0.25">
      <c r="A102" s="8">
        <v>46174</v>
      </c>
      <c r="B102" t="s">
        <v>7</v>
      </c>
      <c r="C102" t="s">
        <v>35</v>
      </c>
      <c r="D102" t="s">
        <v>30</v>
      </c>
      <c r="E102">
        <v>134.60209999999998</v>
      </c>
    </row>
    <row r="103" spans="1:5" x14ac:dyDescent="0.25">
      <c r="A103" s="8">
        <v>46174</v>
      </c>
      <c r="B103" t="s">
        <v>4</v>
      </c>
      <c r="C103" t="s">
        <v>29</v>
      </c>
      <c r="D103" t="s">
        <v>36</v>
      </c>
      <c r="E103">
        <v>134.09330000000003</v>
      </c>
    </row>
    <row r="104" spans="1:5" x14ac:dyDescent="0.25">
      <c r="A104" s="8">
        <v>46174</v>
      </c>
      <c r="B104" t="s">
        <v>4</v>
      </c>
      <c r="C104" t="s">
        <v>29</v>
      </c>
      <c r="D104" t="s">
        <v>30</v>
      </c>
      <c r="E104">
        <v>135.55420000000004</v>
      </c>
    </row>
    <row r="105" spans="1:5" x14ac:dyDescent="0.25">
      <c r="A105" s="8">
        <v>46174</v>
      </c>
      <c r="B105" t="s">
        <v>4</v>
      </c>
      <c r="C105" t="s">
        <v>31</v>
      </c>
      <c r="D105" t="s">
        <v>30</v>
      </c>
      <c r="E105">
        <v>1056.5216</v>
      </c>
    </row>
    <row r="106" spans="1:5" x14ac:dyDescent="0.25">
      <c r="A106" s="8">
        <v>46174</v>
      </c>
      <c r="B106" t="s">
        <v>4</v>
      </c>
      <c r="C106" t="s">
        <v>31</v>
      </c>
      <c r="D106" t="s">
        <v>36</v>
      </c>
      <c r="E106">
        <v>569.18150000000003</v>
      </c>
    </row>
    <row r="107" spans="1:5" x14ac:dyDescent="0.25">
      <c r="A107" s="8">
        <v>46174</v>
      </c>
      <c r="B107" t="s">
        <v>4</v>
      </c>
      <c r="C107" t="s">
        <v>32</v>
      </c>
      <c r="D107" t="s">
        <v>36</v>
      </c>
      <c r="E107">
        <v>265.37460000000004</v>
      </c>
    </row>
    <row r="108" spans="1:5" x14ac:dyDescent="0.25">
      <c r="A108" s="8">
        <v>46174</v>
      </c>
      <c r="B108" t="s">
        <v>4</v>
      </c>
      <c r="C108" t="s">
        <v>32</v>
      </c>
      <c r="D108" t="s">
        <v>30</v>
      </c>
      <c r="E108">
        <v>190.66170000000002</v>
      </c>
    </row>
    <row r="109" spans="1:5" x14ac:dyDescent="0.25">
      <c r="A109" s="8">
        <v>46174</v>
      </c>
      <c r="B109" t="s">
        <v>4</v>
      </c>
      <c r="C109" t="s">
        <v>33</v>
      </c>
      <c r="D109" t="s">
        <v>30</v>
      </c>
      <c r="E109">
        <v>2901.1849999999999</v>
      </c>
    </row>
    <row r="110" spans="1:5" x14ac:dyDescent="0.25">
      <c r="A110" s="8">
        <v>46174</v>
      </c>
      <c r="B110" t="s">
        <v>4</v>
      </c>
      <c r="C110" t="s">
        <v>33</v>
      </c>
      <c r="D110" t="s">
        <v>36</v>
      </c>
      <c r="E110">
        <v>791.10550000000012</v>
      </c>
    </row>
    <row r="111" spans="1:5" x14ac:dyDescent="0.25">
      <c r="A111" s="8">
        <v>46174</v>
      </c>
      <c r="B111" t="s">
        <v>10</v>
      </c>
      <c r="C111" t="s">
        <v>31</v>
      </c>
      <c r="D111" t="s">
        <v>30</v>
      </c>
      <c r="E111">
        <v>777.66859999999986</v>
      </c>
    </row>
    <row r="112" spans="1:5" x14ac:dyDescent="0.25">
      <c r="A112" s="8">
        <v>46174</v>
      </c>
      <c r="B112" t="s">
        <v>10</v>
      </c>
      <c r="C112" t="s">
        <v>32</v>
      </c>
      <c r="D112" t="s">
        <v>30</v>
      </c>
      <c r="E112">
        <v>643.41940000000022</v>
      </c>
    </row>
    <row r="113" spans="1:5" x14ac:dyDescent="0.25">
      <c r="A113" s="8">
        <v>46174</v>
      </c>
      <c r="B113" t="s">
        <v>10</v>
      </c>
      <c r="C113" t="s">
        <v>33</v>
      </c>
      <c r="D113" t="s">
        <v>30</v>
      </c>
      <c r="E113">
        <v>1988.4747999999997</v>
      </c>
    </row>
    <row r="114" spans="1:5" x14ac:dyDescent="0.25">
      <c r="A114" s="8">
        <v>46174</v>
      </c>
      <c r="B114" t="s">
        <v>10</v>
      </c>
      <c r="C114" t="s">
        <v>34</v>
      </c>
      <c r="D114" t="s">
        <v>30</v>
      </c>
      <c r="E114">
        <v>3267.9483999999993</v>
      </c>
    </row>
    <row r="115" spans="1:5" x14ac:dyDescent="0.25">
      <c r="A115" s="8">
        <v>46174</v>
      </c>
      <c r="B115" t="s">
        <v>10</v>
      </c>
      <c r="C115" t="s">
        <v>35</v>
      </c>
      <c r="D115" t="s">
        <v>30</v>
      </c>
      <c r="E115">
        <v>344.10259999999988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F141-AD9D-42BD-9D5A-DF82A519BD29}">
  <dimension ref="A1:C19"/>
  <sheetViews>
    <sheetView topLeftCell="A13" workbookViewId="0">
      <selection activeCell="L4" sqref="L4"/>
    </sheetView>
  </sheetViews>
  <sheetFormatPr defaultRowHeight="15" x14ac:dyDescent="0.25"/>
  <cols>
    <col min="1" max="1" width="14.140625" bestFit="1" customWidth="1"/>
    <col min="2" max="2" width="8.7109375" bestFit="1" customWidth="1"/>
    <col min="3" max="3" width="13.7109375" bestFit="1" customWidth="1"/>
  </cols>
  <sheetData>
    <row r="1" spans="1:3" x14ac:dyDescent="0.25">
      <c r="A1" t="s">
        <v>24</v>
      </c>
      <c r="B1" t="s">
        <v>25</v>
      </c>
      <c r="C1" t="s">
        <v>98</v>
      </c>
    </row>
    <row r="2" spans="1:3" x14ac:dyDescent="0.25">
      <c r="A2" s="7">
        <v>46023</v>
      </c>
      <c r="B2" t="s">
        <v>4</v>
      </c>
      <c r="C2">
        <v>6000</v>
      </c>
    </row>
    <row r="3" spans="1:3" x14ac:dyDescent="0.25">
      <c r="A3" s="7">
        <v>46023</v>
      </c>
      <c r="B3" t="s">
        <v>7</v>
      </c>
      <c r="C3">
        <v>4700</v>
      </c>
    </row>
    <row r="4" spans="1:3" x14ac:dyDescent="0.25">
      <c r="A4" s="7">
        <v>46023</v>
      </c>
      <c r="B4" t="s">
        <v>10</v>
      </c>
      <c r="C4">
        <v>6900</v>
      </c>
    </row>
    <row r="5" spans="1:3" x14ac:dyDescent="0.25">
      <c r="A5" s="7">
        <v>46054</v>
      </c>
      <c r="B5" t="s">
        <v>4</v>
      </c>
      <c r="C5">
        <v>5600</v>
      </c>
    </row>
    <row r="6" spans="1:3" x14ac:dyDescent="0.25">
      <c r="A6" s="7">
        <v>46054</v>
      </c>
      <c r="B6" t="s">
        <v>7</v>
      </c>
      <c r="C6">
        <v>4400</v>
      </c>
    </row>
    <row r="7" spans="1:3" x14ac:dyDescent="0.25">
      <c r="A7" s="7">
        <v>46054</v>
      </c>
      <c r="B7" t="s">
        <v>10</v>
      </c>
      <c r="C7">
        <v>6500</v>
      </c>
    </row>
    <row r="8" spans="1:3" x14ac:dyDescent="0.25">
      <c r="A8" s="7">
        <v>46082</v>
      </c>
      <c r="B8" t="s">
        <v>4</v>
      </c>
      <c r="C8">
        <v>6300</v>
      </c>
    </row>
    <row r="9" spans="1:3" x14ac:dyDescent="0.25">
      <c r="A9" s="7">
        <v>46082</v>
      </c>
      <c r="B9" t="s">
        <v>7</v>
      </c>
      <c r="C9">
        <v>5000</v>
      </c>
    </row>
    <row r="10" spans="1:3" x14ac:dyDescent="0.25">
      <c r="A10" s="7">
        <v>46082</v>
      </c>
      <c r="B10" t="s">
        <v>10</v>
      </c>
      <c r="C10">
        <v>7400</v>
      </c>
    </row>
    <row r="11" spans="1:3" x14ac:dyDescent="0.25">
      <c r="A11" s="7">
        <v>46113</v>
      </c>
      <c r="B11" t="s">
        <v>4</v>
      </c>
      <c r="C11">
        <v>6300</v>
      </c>
    </row>
    <row r="12" spans="1:3" x14ac:dyDescent="0.25">
      <c r="A12" s="7">
        <v>46113</v>
      </c>
      <c r="B12" t="s">
        <v>7</v>
      </c>
      <c r="C12">
        <v>5000</v>
      </c>
    </row>
    <row r="13" spans="1:3" x14ac:dyDescent="0.25">
      <c r="A13" s="7">
        <v>46113</v>
      </c>
      <c r="B13" t="s">
        <v>10</v>
      </c>
      <c r="C13">
        <v>7300</v>
      </c>
    </row>
    <row r="14" spans="1:3" x14ac:dyDescent="0.25">
      <c r="A14" s="7">
        <v>46143</v>
      </c>
      <c r="B14" t="s">
        <v>4</v>
      </c>
      <c r="C14">
        <v>6700</v>
      </c>
    </row>
    <row r="15" spans="1:3" x14ac:dyDescent="0.25">
      <c r="A15" s="7">
        <v>46143</v>
      </c>
      <c r="B15" t="s">
        <v>7</v>
      </c>
      <c r="C15">
        <v>5300</v>
      </c>
    </row>
    <row r="16" spans="1:3" x14ac:dyDescent="0.25">
      <c r="A16" s="7">
        <v>46143</v>
      </c>
      <c r="B16" t="s">
        <v>10</v>
      </c>
      <c r="C16">
        <v>7800</v>
      </c>
    </row>
    <row r="17" spans="1:3" x14ac:dyDescent="0.25">
      <c r="A17" s="7">
        <v>46174</v>
      </c>
      <c r="B17" t="s">
        <v>4</v>
      </c>
      <c r="C17">
        <v>6700</v>
      </c>
    </row>
    <row r="18" spans="1:3" x14ac:dyDescent="0.25">
      <c r="A18" s="7">
        <v>46174</v>
      </c>
      <c r="B18" t="s">
        <v>7</v>
      </c>
      <c r="C18">
        <v>5300</v>
      </c>
    </row>
    <row r="19" spans="1:3" x14ac:dyDescent="0.25">
      <c r="A19" s="7">
        <v>46174</v>
      </c>
      <c r="B19" t="s">
        <v>10</v>
      </c>
      <c r="C19">
        <v>7800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18C1-2C99-4540-B1C5-2892D4C6D664}">
  <dimension ref="A1:A4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25</v>
      </c>
    </row>
    <row r="2" spans="1:1" x14ac:dyDescent="0.25">
      <c r="A2" t="s">
        <v>4</v>
      </c>
    </row>
    <row r="3" spans="1:1" x14ac:dyDescent="0.25">
      <c r="A3" t="s">
        <v>7</v>
      </c>
    </row>
    <row r="4" spans="1:1" x14ac:dyDescent="0.25">
      <c r="A4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B871-9B54-4329-A301-C1C03EA72142}">
  <dimension ref="A1:A7"/>
  <sheetViews>
    <sheetView workbookViewId="0"/>
  </sheetViews>
  <sheetFormatPr defaultRowHeight="15" x14ac:dyDescent="0.25"/>
  <cols>
    <col min="1" max="1" width="14.140625" bestFit="1" customWidth="1"/>
  </cols>
  <sheetData>
    <row r="1" spans="1:1" x14ac:dyDescent="0.25">
      <c r="A1" t="s">
        <v>24</v>
      </c>
    </row>
    <row r="2" spans="1:1" x14ac:dyDescent="0.25">
      <c r="A2" s="7">
        <v>46023</v>
      </c>
    </row>
    <row r="3" spans="1:1" x14ac:dyDescent="0.25">
      <c r="A3" s="7">
        <v>46054</v>
      </c>
    </row>
    <row r="4" spans="1:1" x14ac:dyDescent="0.25">
      <c r="A4" s="7">
        <v>46082</v>
      </c>
    </row>
    <row r="5" spans="1:1" x14ac:dyDescent="0.25">
      <c r="A5" s="7">
        <v>46113</v>
      </c>
    </row>
    <row r="6" spans="1:1" x14ac:dyDescent="0.25">
      <c r="A6" s="7">
        <v>46143</v>
      </c>
    </row>
    <row r="7" spans="1:1" x14ac:dyDescent="0.25">
      <c r="A7" s="7">
        <v>46174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648D-11F8-4E71-B1F1-9F62BCC992FF}">
  <dimension ref="A1:G56"/>
  <sheetViews>
    <sheetView workbookViewId="0"/>
  </sheetViews>
  <sheetFormatPr defaultRowHeight="15" x14ac:dyDescent="0.25"/>
  <cols>
    <col min="1" max="1" width="20.7109375" bestFit="1" customWidth="1"/>
    <col min="2" max="2" width="18.28515625" bestFit="1" customWidth="1"/>
    <col min="3" max="3" width="8.7109375" bestFit="1" customWidth="1"/>
    <col min="4" max="4" width="16.28515625" bestFit="1" customWidth="1"/>
    <col min="5" max="5" width="18.7109375" bestFit="1" customWidth="1"/>
    <col min="6" max="6" width="11" bestFit="1" customWidth="1"/>
    <col min="7" max="7" width="12.140625" bestFit="1" customWidth="1"/>
  </cols>
  <sheetData>
    <row r="1" spans="1:7" x14ac:dyDescent="0.25">
      <c r="A1" t="s">
        <v>37</v>
      </c>
      <c r="B1" t="s">
        <v>26</v>
      </c>
      <c r="C1" t="s">
        <v>25</v>
      </c>
      <c r="D1" t="s">
        <v>1</v>
      </c>
      <c r="E1" t="s">
        <v>38</v>
      </c>
      <c r="F1" t="s">
        <v>28</v>
      </c>
      <c r="G1" t="s">
        <v>39</v>
      </c>
    </row>
    <row r="2" spans="1:7" x14ac:dyDescent="0.25">
      <c r="A2" t="s">
        <v>40</v>
      </c>
      <c r="B2" t="s">
        <v>33</v>
      </c>
      <c r="C2" t="s">
        <v>7</v>
      </c>
      <c r="D2" t="s">
        <v>6</v>
      </c>
      <c r="E2" t="s">
        <v>41</v>
      </c>
      <c r="F2">
        <v>8831.5868999999984</v>
      </c>
      <c r="G2" s="7">
        <v>46122</v>
      </c>
    </row>
    <row r="3" spans="1:7" x14ac:dyDescent="0.25">
      <c r="A3" t="s">
        <v>42</v>
      </c>
      <c r="B3" t="s">
        <v>33</v>
      </c>
      <c r="C3" t="s">
        <v>7</v>
      </c>
      <c r="D3" t="s">
        <v>6</v>
      </c>
      <c r="E3" t="s">
        <v>41</v>
      </c>
      <c r="F3">
        <v>8564.9808999999987</v>
      </c>
      <c r="G3" s="7">
        <v>46122</v>
      </c>
    </row>
    <row r="4" spans="1:7" x14ac:dyDescent="0.25">
      <c r="A4" t="s">
        <v>43</v>
      </c>
      <c r="B4" t="s">
        <v>33</v>
      </c>
      <c r="C4" t="s">
        <v>7</v>
      </c>
      <c r="D4" t="s">
        <v>6</v>
      </c>
      <c r="E4" t="s">
        <v>44</v>
      </c>
      <c r="F4">
        <v>7509.6056999999964</v>
      </c>
      <c r="G4" s="7">
        <v>46023</v>
      </c>
    </row>
    <row r="5" spans="1:7" x14ac:dyDescent="0.25">
      <c r="A5" t="s">
        <v>45</v>
      </c>
      <c r="B5" t="s">
        <v>33</v>
      </c>
      <c r="C5" t="s">
        <v>7</v>
      </c>
      <c r="D5" t="s">
        <v>6</v>
      </c>
      <c r="E5" t="s">
        <v>41</v>
      </c>
      <c r="F5">
        <v>6727.6679000000022</v>
      </c>
      <c r="G5" s="7">
        <v>46122</v>
      </c>
    </row>
    <row r="6" spans="1:7" x14ac:dyDescent="0.25">
      <c r="A6" t="s">
        <v>46</v>
      </c>
      <c r="B6" t="s">
        <v>33</v>
      </c>
      <c r="C6" t="s">
        <v>4</v>
      </c>
      <c r="D6" t="s">
        <v>3</v>
      </c>
      <c r="E6" t="s">
        <v>47</v>
      </c>
      <c r="F6">
        <v>6419.0749999999989</v>
      </c>
      <c r="G6" s="7">
        <v>46023</v>
      </c>
    </row>
    <row r="7" spans="1:7" x14ac:dyDescent="0.25">
      <c r="A7" t="s">
        <v>48</v>
      </c>
      <c r="B7" t="s">
        <v>33</v>
      </c>
      <c r="C7" t="s">
        <v>10</v>
      </c>
      <c r="D7" t="s">
        <v>9</v>
      </c>
      <c r="E7" t="s">
        <v>44</v>
      </c>
      <c r="F7">
        <v>6127.2194000000009</v>
      </c>
      <c r="G7" s="7">
        <v>46023</v>
      </c>
    </row>
    <row r="8" spans="1:7" x14ac:dyDescent="0.25">
      <c r="A8" t="s">
        <v>49</v>
      </c>
      <c r="B8" t="s">
        <v>34</v>
      </c>
      <c r="C8" t="s">
        <v>10</v>
      </c>
      <c r="D8" t="s">
        <v>9</v>
      </c>
      <c r="E8" t="s">
        <v>44</v>
      </c>
      <c r="F8">
        <v>5721.1331000000037</v>
      </c>
      <c r="G8" s="7">
        <v>46023</v>
      </c>
    </row>
    <row r="9" spans="1:7" x14ac:dyDescent="0.25">
      <c r="A9" t="s">
        <v>50</v>
      </c>
      <c r="B9" t="s">
        <v>33</v>
      </c>
      <c r="C9" t="s">
        <v>4</v>
      </c>
      <c r="D9" t="s">
        <v>3</v>
      </c>
      <c r="E9" t="s">
        <v>41</v>
      </c>
      <c r="F9">
        <v>5573.1673999999957</v>
      </c>
      <c r="G9" s="7">
        <v>46023</v>
      </c>
    </row>
    <row r="10" spans="1:7" x14ac:dyDescent="0.25">
      <c r="A10" t="s">
        <v>51</v>
      </c>
      <c r="B10" t="s">
        <v>34</v>
      </c>
      <c r="C10" t="s">
        <v>10</v>
      </c>
      <c r="D10" t="s">
        <v>9</v>
      </c>
      <c r="E10" t="s">
        <v>47</v>
      </c>
      <c r="F10">
        <v>5115.6544999999996</v>
      </c>
      <c r="G10" s="7">
        <v>46023</v>
      </c>
    </row>
    <row r="11" spans="1:7" x14ac:dyDescent="0.25">
      <c r="A11" t="s">
        <v>52</v>
      </c>
      <c r="B11" t="s">
        <v>34</v>
      </c>
      <c r="C11" t="s">
        <v>10</v>
      </c>
      <c r="D11" t="s">
        <v>9</v>
      </c>
      <c r="E11" t="s">
        <v>44</v>
      </c>
      <c r="F11">
        <v>5015.0294000000031</v>
      </c>
      <c r="G11" s="7">
        <v>46023</v>
      </c>
    </row>
    <row r="12" spans="1:7" x14ac:dyDescent="0.25">
      <c r="A12" t="s">
        <v>53</v>
      </c>
      <c r="B12" t="s">
        <v>33</v>
      </c>
      <c r="C12" t="s">
        <v>10</v>
      </c>
      <c r="D12" t="s">
        <v>9</v>
      </c>
      <c r="E12" t="s">
        <v>47</v>
      </c>
      <c r="F12">
        <v>4918.514799999999</v>
      </c>
      <c r="G12" s="7">
        <v>46023</v>
      </c>
    </row>
    <row r="13" spans="1:7" x14ac:dyDescent="0.25">
      <c r="A13" t="s">
        <v>54</v>
      </c>
      <c r="B13" t="s">
        <v>33</v>
      </c>
      <c r="C13" t="s">
        <v>4</v>
      </c>
      <c r="D13" t="s">
        <v>3</v>
      </c>
      <c r="E13" t="s">
        <v>41</v>
      </c>
      <c r="F13">
        <v>4600.2128000000012</v>
      </c>
      <c r="G13" s="7">
        <v>46023</v>
      </c>
    </row>
    <row r="14" spans="1:7" x14ac:dyDescent="0.25">
      <c r="A14" t="s">
        <v>55</v>
      </c>
      <c r="B14" t="s">
        <v>34</v>
      </c>
      <c r="C14" t="s">
        <v>7</v>
      </c>
      <c r="D14" t="s">
        <v>6</v>
      </c>
      <c r="E14" t="s">
        <v>44</v>
      </c>
      <c r="F14">
        <v>4483.0930999999991</v>
      </c>
      <c r="G14" s="7">
        <v>46023</v>
      </c>
    </row>
    <row r="15" spans="1:7" x14ac:dyDescent="0.25">
      <c r="A15" t="s">
        <v>56</v>
      </c>
      <c r="B15" t="s">
        <v>33</v>
      </c>
      <c r="C15" t="s">
        <v>4</v>
      </c>
      <c r="D15" t="s">
        <v>12</v>
      </c>
      <c r="E15" t="s">
        <v>41</v>
      </c>
      <c r="F15">
        <v>4423.2279000000026</v>
      </c>
      <c r="G15" s="7">
        <v>46023</v>
      </c>
    </row>
    <row r="16" spans="1:7" x14ac:dyDescent="0.25">
      <c r="A16" t="s">
        <v>57</v>
      </c>
      <c r="B16" t="s">
        <v>34</v>
      </c>
      <c r="C16" t="s">
        <v>7</v>
      </c>
      <c r="D16" t="s">
        <v>6</v>
      </c>
      <c r="E16" t="s">
        <v>41</v>
      </c>
      <c r="F16">
        <v>3808.6648000000005</v>
      </c>
      <c r="G16" s="7">
        <v>46023</v>
      </c>
    </row>
    <row r="17" spans="1:7" x14ac:dyDescent="0.25">
      <c r="A17" t="s">
        <v>58</v>
      </c>
      <c r="B17" t="s">
        <v>34</v>
      </c>
      <c r="C17" t="s">
        <v>7</v>
      </c>
      <c r="D17" t="s">
        <v>6</v>
      </c>
      <c r="E17" t="s">
        <v>47</v>
      </c>
      <c r="F17">
        <v>3047.0366000000013</v>
      </c>
      <c r="G17" s="7">
        <v>46023</v>
      </c>
    </row>
    <row r="18" spans="1:7" x14ac:dyDescent="0.25">
      <c r="A18" t="s">
        <v>59</v>
      </c>
      <c r="B18" t="s">
        <v>34</v>
      </c>
      <c r="C18" t="s">
        <v>10</v>
      </c>
      <c r="D18" t="s">
        <v>9</v>
      </c>
      <c r="E18" t="s">
        <v>44</v>
      </c>
      <c r="F18">
        <v>2519.680699999999</v>
      </c>
      <c r="G18" s="7">
        <v>46023</v>
      </c>
    </row>
    <row r="19" spans="1:7" x14ac:dyDescent="0.25">
      <c r="A19" t="s">
        <v>60</v>
      </c>
      <c r="B19" t="s">
        <v>33</v>
      </c>
      <c r="C19" t="s">
        <v>7</v>
      </c>
      <c r="D19" t="s">
        <v>6</v>
      </c>
      <c r="E19" t="s">
        <v>47</v>
      </c>
      <c r="F19">
        <v>1871.4873000000011</v>
      </c>
      <c r="G19" s="7">
        <v>46023</v>
      </c>
    </row>
    <row r="20" spans="1:7" x14ac:dyDescent="0.25">
      <c r="A20" t="s">
        <v>61</v>
      </c>
      <c r="B20" t="s">
        <v>31</v>
      </c>
      <c r="C20" t="s">
        <v>10</v>
      </c>
      <c r="D20" t="s">
        <v>9</v>
      </c>
      <c r="E20" t="s">
        <v>47</v>
      </c>
      <c r="F20">
        <v>1870.9419999999996</v>
      </c>
      <c r="G20" s="7">
        <v>46023</v>
      </c>
    </row>
    <row r="21" spans="1:7" x14ac:dyDescent="0.25">
      <c r="A21" t="s">
        <v>62</v>
      </c>
      <c r="B21" t="s">
        <v>31</v>
      </c>
      <c r="C21" t="s">
        <v>10</v>
      </c>
      <c r="D21" t="s">
        <v>9</v>
      </c>
      <c r="E21" t="s">
        <v>41</v>
      </c>
      <c r="F21">
        <v>1863.2626999999995</v>
      </c>
      <c r="G21" s="7">
        <v>46023</v>
      </c>
    </row>
    <row r="22" spans="1:7" x14ac:dyDescent="0.25">
      <c r="A22" t="s">
        <v>63</v>
      </c>
      <c r="B22" t="s">
        <v>31</v>
      </c>
      <c r="C22" t="s">
        <v>4</v>
      </c>
      <c r="D22" t="s">
        <v>12</v>
      </c>
      <c r="E22" t="s">
        <v>41</v>
      </c>
      <c r="F22">
        <v>1745.9946000000004</v>
      </c>
      <c r="G22" s="7">
        <v>46023</v>
      </c>
    </row>
    <row r="23" spans="1:7" x14ac:dyDescent="0.25">
      <c r="A23" t="s">
        <v>64</v>
      </c>
      <c r="B23" t="s">
        <v>31</v>
      </c>
      <c r="C23" t="s">
        <v>4</v>
      </c>
      <c r="D23" t="s">
        <v>3</v>
      </c>
      <c r="E23" t="s">
        <v>47</v>
      </c>
      <c r="F23">
        <v>1604.5110999999999</v>
      </c>
      <c r="G23" s="7">
        <v>46023</v>
      </c>
    </row>
    <row r="24" spans="1:7" x14ac:dyDescent="0.25">
      <c r="A24" t="s">
        <v>65</v>
      </c>
      <c r="B24" t="s">
        <v>31</v>
      </c>
      <c r="C24" t="s">
        <v>4</v>
      </c>
      <c r="D24" t="s">
        <v>12</v>
      </c>
      <c r="E24" t="s">
        <v>41</v>
      </c>
      <c r="F24">
        <v>1480.2862999999998</v>
      </c>
      <c r="G24" s="7">
        <v>46023</v>
      </c>
    </row>
    <row r="25" spans="1:7" x14ac:dyDescent="0.25">
      <c r="A25" t="s">
        <v>66</v>
      </c>
      <c r="B25" t="s">
        <v>32</v>
      </c>
      <c r="C25" t="s">
        <v>4</v>
      </c>
      <c r="D25" t="s">
        <v>12</v>
      </c>
      <c r="E25" t="s">
        <v>41</v>
      </c>
      <c r="F25">
        <v>1462.9195999999993</v>
      </c>
      <c r="G25" s="7">
        <v>46023</v>
      </c>
    </row>
    <row r="26" spans="1:7" x14ac:dyDescent="0.25">
      <c r="A26" t="s">
        <v>67</v>
      </c>
      <c r="B26" t="s">
        <v>31</v>
      </c>
      <c r="C26" t="s">
        <v>7</v>
      </c>
      <c r="D26" t="s">
        <v>6</v>
      </c>
      <c r="E26" t="s">
        <v>47</v>
      </c>
      <c r="F26">
        <v>1248.4524000000001</v>
      </c>
      <c r="G26" s="7">
        <v>46023</v>
      </c>
    </row>
    <row r="27" spans="1:7" x14ac:dyDescent="0.25">
      <c r="A27" t="s">
        <v>68</v>
      </c>
      <c r="B27" t="s">
        <v>31</v>
      </c>
      <c r="C27" t="s">
        <v>4</v>
      </c>
      <c r="D27" t="s">
        <v>3</v>
      </c>
      <c r="E27" t="s">
        <v>41</v>
      </c>
      <c r="F27">
        <v>1168.9969999999996</v>
      </c>
      <c r="G27" s="7">
        <v>46023</v>
      </c>
    </row>
    <row r="28" spans="1:7" x14ac:dyDescent="0.25">
      <c r="A28" t="s">
        <v>69</v>
      </c>
      <c r="B28" t="s">
        <v>32</v>
      </c>
      <c r="C28" t="s">
        <v>10</v>
      </c>
      <c r="D28" t="s">
        <v>9</v>
      </c>
      <c r="E28" t="s">
        <v>47</v>
      </c>
      <c r="F28">
        <v>1144.2431999999999</v>
      </c>
      <c r="G28" s="7">
        <v>46023</v>
      </c>
    </row>
    <row r="29" spans="1:7" x14ac:dyDescent="0.25">
      <c r="A29" t="s">
        <v>70</v>
      </c>
      <c r="B29" t="s">
        <v>32</v>
      </c>
      <c r="C29" t="s">
        <v>7</v>
      </c>
      <c r="D29" t="s">
        <v>6</v>
      </c>
      <c r="E29" t="s">
        <v>44</v>
      </c>
      <c r="F29">
        <v>1097.1262000000004</v>
      </c>
      <c r="G29" s="7">
        <v>46023</v>
      </c>
    </row>
    <row r="30" spans="1:7" x14ac:dyDescent="0.25">
      <c r="A30" t="s">
        <v>71</v>
      </c>
      <c r="B30" t="s">
        <v>32</v>
      </c>
      <c r="C30" t="s">
        <v>10</v>
      </c>
      <c r="D30" t="s">
        <v>9</v>
      </c>
      <c r="E30" t="s">
        <v>47</v>
      </c>
      <c r="F30">
        <v>1009.5288999999998</v>
      </c>
      <c r="G30" s="7">
        <v>46023</v>
      </c>
    </row>
    <row r="31" spans="1:7" x14ac:dyDescent="0.25">
      <c r="A31" t="s">
        <v>72</v>
      </c>
      <c r="B31" t="s">
        <v>31</v>
      </c>
      <c r="C31" t="s">
        <v>4</v>
      </c>
      <c r="D31" t="s">
        <v>3</v>
      </c>
      <c r="E31" t="s">
        <v>47</v>
      </c>
      <c r="F31">
        <v>989.83309999999994</v>
      </c>
      <c r="G31" s="7">
        <v>46023</v>
      </c>
    </row>
    <row r="32" spans="1:7" x14ac:dyDescent="0.25">
      <c r="A32" t="s">
        <v>73</v>
      </c>
      <c r="B32" t="s">
        <v>35</v>
      </c>
      <c r="C32" t="s">
        <v>10</v>
      </c>
      <c r="D32" t="s">
        <v>9</v>
      </c>
      <c r="E32" t="s">
        <v>47</v>
      </c>
      <c r="F32">
        <v>984.18509999999992</v>
      </c>
      <c r="G32" s="7">
        <v>46023</v>
      </c>
    </row>
    <row r="33" spans="1:7" x14ac:dyDescent="0.25">
      <c r="A33" t="s">
        <v>74</v>
      </c>
      <c r="B33" t="s">
        <v>35</v>
      </c>
      <c r="C33" t="s">
        <v>10</v>
      </c>
      <c r="D33" t="s">
        <v>9</v>
      </c>
      <c r="E33" t="s">
        <v>47</v>
      </c>
      <c r="F33">
        <v>935.02459999999974</v>
      </c>
      <c r="G33" s="7">
        <v>46023</v>
      </c>
    </row>
    <row r="34" spans="1:7" x14ac:dyDescent="0.25">
      <c r="A34" t="s">
        <v>75</v>
      </c>
      <c r="B34" t="s">
        <v>32</v>
      </c>
      <c r="C34" t="s">
        <v>10</v>
      </c>
      <c r="D34" t="s">
        <v>9</v>
      </c>
      <c r="E34" t="s">
        <v>47</v>
      </c>
      <c r="F34">
        <v>865.58200000000011</v>
      </c>
      <c r="G34" s="7">
        <v>46023</v>
      </c>
    </row>
    <row r="35" spans="1:7" x14ac:dyDescent="0.25">
      <c r="A35" t="s">
        <v>76</v>
      </c>
      <c r="B35" t="s">
        <v>31</v>
      </c>
      <c r="C35" t="s">
        <v>10</v>
      </c>
      <c r="D35" t="s">
        <v>9</v>
      </c>
      <c r="E35" t="s">
        <v>47</v>
      </c>
      <c r="F35">
        <v>855.27679999999975</v>
      </c>
      <c r="G35" s="7">
        <v>46023</v>
      </c>
    </row>
    <row r="36" spans="1:7" x14ac:dyDescent="0.25">
      <c r="A36" t="s">
        <v>77</v>
      </c>
      <c r="B36" t="s">
        <v>31</v>
      </c>
      <c r="C36" t="s">
        <v>4</v>
      </c>
      <c r="D36" t="s">
        <v>3</v>
      </c>
      <c r="E36" t="s">
        <v>47</v>
      </c>
      <c r="F36">
        <v>819.40049999999985</v>
      </c>
      <c r="G36" s="7">
        <v>46023</v>
      </c>
    </row>
    <row r="37" spans="1:7" x14ac:dyDescent="0.25">
      <c r="A37" t="s">
        <v>78</v>
      </c>
      <c r="B37" t="s">
        <v>31</v>
      </c>
      <c r="C37" t="s">
        <v>4</v>
      </c>
      <c r="D37" t="s">
        <v>3</v>
      </c>
      <c r="E37" t="s">
        <v>47</v>
      </c>
      <c r="F37">
        <v>793.125</v>
      </c>
      <c r="G37" s="7">
        <v>46023</v>
      </c>
    </row>
    <row r="38" spans="1:7" x14ac:dyDescent="0.25">
      <c r="A38" t="s">
        <v>79</v>
      </c>
      <c r="B38" t="s">
        <v>31</v>
      </c>
      <c r="C38" t="s">
        <v>7</v>
      </c>
      <c r="D38" t="s">
        <v>6</v>
      </c>
      <c r="E38" t="s">
        <v>41</v>
      </c>
      <c r="F38">
        <v>777.77540000000045</v>
      </c>
      <c r="G38" s="7">
        <v>46023</v>
      </c>
    </row>
    <row r="39" spans="1:7" x14ac:dyDescent="0.25">
      <c r="A39" t="s">
        <v>80</v>
      </c>
      <c r="B39" t="s">
        <v>31</v>
      </c>
      <c r="C39" t="s">
        <v>10</v>
      </c>
      <c r="D39" t="s">
        <v>9</v>
      </c>
      <c r="E39" t="s">
        <v>47</v>
      </c>
      <c r="F39">
        <v>761.80089999999973</v>
      </c>
      <c r="G39" s="7">
        <v>46023</v>
      </c>
    </row>
    <row r="40" spans="1:7" x14ac:dyDescent="0.25">
      <c r="A40" t="s">
        <v>81</v>
      </c>
      <c r="B40" t="s">
        <v>29</v>
      </c>
      <c r="C40" t="s">
        <v>4</v>
      </c>
      <c r="D40" t="s">
        <v>12</v>
      </c>
      <c r="E40" t="s">
        <v>41</v>
      </c>
      <c r="F40">
        <v>748.49180000000013</v>
      </c>
      <c r="G40" s="7">
        <v>46023</v>
      </c>
    </row>
    <row r="41" spans="1:7" x14ac:dyDescent="0.25">
      <c r="A41" t="s">
        <v>82</v>
      </c>
      <c r="B41" t="s">
        <v>29</v>
      </c>
      <c r="C41" t="s">
        <v>7</v>
      </c>
      <c r="D41" t="s">
        <v>6</v>
      </c>
      <c r="E41" t="s">
        <v>44</v>
      </c>
      <c r="F41">
        <v>678.84739999999977</v>
      </c>
      <c r="G41" s="7">
        <v>46023</v>
      </c>
    </row>
    <row r="42" spans="1:7" x14ac:dyDescent="0.25">
      <c r="A42" t="s">
        <v>83</v>
      </c>
      <c r="B42" t="s">
        <v>32</v>
      </c>
      <c r="C42" t="s">
        <v>10</v>
      </c>
      <c r="D42" t="s">
        <v>9</v>
      </c>
      <c r="E42" t="s">
        <v>47</v>
      </c>
      <c r="F42">
        <v>597.28760000000023</v>
      </c>
      <c r="G42" s="7">
        <v>46023</v>
      </c>
    </row>
    <row r="43" spans="1:7" x14ac:dyDescent="0.25">
      <c r="A43" t="s">
        <v>84</v>
      </c>
      <c r="B43" t="s">
        <v>31</v>
      </c>
      <c r="C43" t="s">
        <v>4</v>
      </c>
      <c r="D43" t="s">
        <v>3</v>
      </c>
      <c r="E43" t="s">
        <v>41</v>
      </c>
      <c r="F43">
        <v>595.46289999999976</v>
      </c>
      <c r="G43" s="7">
        <v>46023</v>
      </c>
    </row>
    <row r="44" spans="1:7" x14ac:dyDescent="0.25">
      <c r="A44" t="s">
        <v>85</v>
      </c>
      <c r="B44" t="s">
        <v>32</v>
      </c>
      <c r="C44" t="s">
        <v>4</v>
      </c>
      <c r="D44" t="s">
        <v>3</v>
      </c>
      <c r="E44" t="s">
        <v>47</v>
      </c>
      <c r="F44">
        <v>499.75970000000007</v>
      </c>
      <c r="G44" s="7">
        <v>46023</v>
      </c>
    </row>
    <row r="45" spans="1:7" x14ac:dyDescent="0.25">
      <c r="A45" t="s">
        <v>86</v>
      </c>
      <c r="B45" t="s">
        <v>35</v>
      </c>
      <c r="C45" t="s">
        <v>7</v>
      </c>
      <c r="D45" t="s">
        <v>6</v>
      </c>
      <c r="E45" t="s">
        <v>47</v>
      </c>
      <c r="F45">
        <v>490.99629999999996</v>
      </c>
      <c r="G45" s="7">
        <v>46023</v>
      </c>
    </row>
    <row r="46" spans="1:7" x14ac:dyDescent="0.25">
      <c r="A46" t="s">
        <v>87</v>
      </c>
      <c r="B46" t="s">
        <v>29</v>
      </c>
      <c r="C46" t="s">
        <v>7</v>
      </c>
      <c r="D46" t="s">
        <v>6</v>
      </c>
      <c r="E46" t="s">
        <v>44</v>
      </c>
      <c r="F46">
        <v>488.00770000000028</v>
      </c>
      <c r="G46" s="7">
        <v>46023</v>
      </c>
    </row>
    <row r="47" spans="1:7" x14ac:dyDescent="0.25">
      <c r="A47" t="s">
        <v>88</v>
      </c>
      <c r="B47" t="s">
        <v>29</v>
      </c>
      <c r="C47" t="s">
        <v>7</v>
      </c>
      <c r="D47" t="s">
        <v>6</v>
      </c>
      <c r="E47" t="s">
        <v>47</v>
      </c>
      <c r="F47">
        <v>410.14480000000009</v>
      </c>
      <c r="G47" s="7">
        <v>46023</v>
      </c>
    </row>
    <row r="48" spans="1:7" x14ac:dyDescent="0.25">
      <c r="A48" t="s">
        <v>89</v>
      </c>
      <c r="B48" t="s">
        <v>29</v>
      </c>
      <c r="C48" t="s">
        <v>7</v>
      </c>
      <c r="D48" t="s">
        <v>6</v>
      </c>
      <c r="E48" t="s">
        <v>47</v>
      </c>
      <c r="F48">
        <v>387.16310000000016</v>
      </c>
      <c r="G48" s="7">
        <v>46023</v>
      </c>
    </row>
    <row r="49" spans="1:7" x14ac:dyDescent="0.25">
      <c r="A49" t="s">
        <v>90</v>
      </c>
      <c r="B49" t="s">
        <v>29</v>
      </c>
      <c r="C49" t="s">
        <v>4</v>
      </c>
      <c r="D49" t="s">
        <v>3</v>
      </c>
      <c r="E49" t="s">
        <v>41</v>
      </c>
      <c r="F49">
        <v>325.52260000000024</v>
      </c>
      <c r="G49" s="7">
        <v>46023</v>
      </c>
    </row>
    <row r="50" spans="1:7" x14ac:dyDescent="0.25">
      <c r="A50" t="s">
        <v>91</v>
      </c>
      <c r="B50" t="s">
        <v>32</v>
      </c>
      <c r="C50" t="s">
        <v>4</v>
      </c>
      <c r="D50" t="s">
        <v>3</v>
      </c>
      <c r="E50" t="s">
        <v>44</v>
      </c>
      <c r="F50">
        <v>288.64770000000016</v>
      </c>
      <c r="G50" s="7">
        <v>46023</v>
      </c>
    </row>
    <row r="51" spans="1:7" x14ac:dyDescent="0.25">
      <c r="A51" t="s">
        <v>92</v>
      </c>
      <c r="B51" t="s">
        <v>32</v>
      </c>
      <c r="C51" t="s">
        <v>4</v>
      </c>
      <c r="D51" t="s">
        <v>3</v>
      </c>
      <c r="E51" t="s">
        <v>44</v>
      </c>
      <c r="F51">
        <v>283.73509999999993</v>
      </c>
      <c r="G51" s="7">
        <v>46023</v>
      </c>
    </row>
    <row r="52" spans="1:7" x14ac:dyDescent="0.25">
      <c r="A52" t="s">
        <v>93</v>
      </c>
      <c r="B52" t="s">
        <v>35</v>
      </c>
      <c r="C52" t="s">
        <v>7</v>
      </c>
      <c r="D52" t="s">
        <v>6</v>
      </c>
      <c r="E52" t="s">
        <v>44</v>
      </c>
      <c r="F52">
        <v>258.60940000000011</v>
      </c>
      <c r="G52" s="7">
        <v>46023</v>
      </c>
    </row>
    <row r="53" spans="1:7" x14ac:dyDescent="0.25">
      <c r="A53" t="s">
        <v>94</v>
      </c>
      <c r="B53" t="s">
        <v>32</v>
      </c>
      <c r="C53" t="s">
        <v>7</v>
      </c>
      <c r="D53" t="s">
        <v>12</v>
      </c>
      <c r="E53" t="s">
        <v>41</v>
      </c>
      <c r="F53">
        <v>255.40939999999986</v>
      </c>
      <c r="G53" s="7">
        <v>46023</v>
      </c>
    </row>
    <row r="54" spans="1:7" x14ac:dyDescent="0.25">
      <c r="A54" t="s">
        <v>95</v>
      </c>
      <c r="B54" t="s">
        <v>29</v>
      </c>
      <c r="C54" t="s">
        <v>4</v>
      </c>
      <c r="D54" t="s">
        <v>3</v>
      </c>
      <c r="E54" t="s">
        <v>47</v>
      </c>
      <c r="F54">
        <v>224.23470000000003</v>
      </c>
      <c r="G54" s="7">
        <v>46023</v>
      </c>
    </row>
    <row r="55" spans="1:7" x14ac:dyDescent="0.25">
      <c r="A55" t="s">
        <v>96</v>
      </c>
      <c r="B55" t="s">
        <v>29</v>
      </c>
      <c r="C55" t="s">
        <v>4</v>
      </c>
      <c r="D55" t="s">
        <v>3</v>
      </c>
      <c r="E55" t="s">
        <v>47</v>
      </c>
      <c r="F55">
        <v>209.73880000000003</v>
      </c>
      <c r="G55" s="7">
        <v>46023</v>
      </c>
    </row>
    <row r="56" spans="1:7" x14ac:dyDescent="0.25">
      <c r="A56" t="s">
        <v>97</v>
      </c>
      <c r="B56" t="s">
        <v>29</v>
      </c>
      <c r="C56" t="s">
        <v>7</v>
      </c>
      <c r="D56" t="s">
        <v>6</v>
      </c>
      <c r="E56" t="s">
        <v>47</v>
      </c>
      <c r="F56">
        <v>166.71810000000011</v>
      </c>
      <c r="G56" s="7">
        <v>46023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285C-3A4A-4F10-B75D-F3161B5BCDAB}">
  <dimension ref="A1:C5"/>
  <sheetViews>
    <sheetView workbookViewId="0"/>
  </sheetViews>
  <sheetFormatPr defaultRowHeight="15" x14ac:dyDescent="0.25"/>
  <cols>
    <col min="1" max="1" width="13.140625" bestFit="1" customWidth="1"/>
    <col min="2" max="2" width="16.28515625" bestFit="1" customWidth="1"/>
    <col min="3" max="3" width="15.42578125" bestFit="1" customWidth="1"/>
  </cols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95CC74A-9C06-4A2B-9487-53838B084FBF}">
  <ds:schemaRefs/>
</ds:datastoreItem>
</file>

<file path=customXml/itemProps2.xml><?xml version="1.0" encoding="utf-8"?>
<ds:datastoreItem xmlns:ds="http://schemas.openxmlformats.org/officeDocument/2006/customXml" ds:itemID="{CDBD188B-CC92-4B3E-8276-E634D3187C04}">
  <ds:schemaRefs/>
</ds:datastoreItem>
</file>

<file path=customXml/itemProps3.xml><?xml version="1.0" encoding="utf-8"?>
<ds:datastoreItem xmlns:ds="http://schemas.openxmlformats.org/officeDocument/2006/customXml" ds:itemID="{37A61303-4680-413D-B820-6BF7C2405762}">
  <ds:schemaRefs/>
</ds:datastoreItem>
</file>

<file path=customXml/itemProps4.xml><?xml version="1.0" encoding="utf-8"?>
<ds:datastoreItem xmlns:ds="http://schemas.openxmlformats.org/officeDocument/2006/customXml" ds:itemID="{A13EEED4-C398-434C-9C8D-29E70CA191F6}">
  <ds:schemaRefs/>
</ds:datastoreItem>
</file>

<file path=customXml/itemProps5.xml><?xml version="1.0" encoding="utf-8"?>
<ds:datastoreItem xmlns:ds="http://schemas.openxmlformats.org/officeDocument/2006/customXml" ds:itemID="{A21F4CC0-8166-47E6-9B08-240891C7416F}">
  <ds:schemaRefs/>
</ds:datastoreItem>
</file>

<file path=customXml/itemProps6.xml><?xml version="1.0" encoding="utf-8"?>
<ds:datastoreItem xmlns:ds="http://schemas.openxmlformats.org/officeDocument/2006/customXml" ds:itemID="{817BB50B-0841-4643-BB5E-628820F54055}">
  <ds:schemaRefs/>
</ds:datastoreItem>
</file>

<file path=customXml/itemProps7.xml><?xml version="1.0" encoding="utf-8"?>
<ds:datastoreItem xmlns:ds="http://schemas.openxmlformats.org/officeDocument/2006/customXml" ds:itemID="{EC066002-0868-49FF-8403-AD646E374713}">
  <ds:schemaRefs/>
</ds:datastoreItem>
</file>

<file path=customXml/itemProps8.xml><?xml version="1.0" encoding="utf-8"?>
<ds:datastoreItem xmlns:ds="http://schemas.openxmlformats.org/officeDocument/2006/customXml" ds:itemID="{B8692861-57D6-4C8A-8162-2E6783E87D04}">
  <ds:schemaRefs/>
</ds:datastoreItem>
</file>

<file path=customXml/itemProps9.xml><?xml version="1.0" encoding="utf-8"?>
<ds:datastoreItem xmlns:ds="http://schemas.openxmlformats.org/officeDocument/2006/customXml" ds:itemID="{7B713A4A-089D-41BE-BEEC-BB984EFEF85D}">
  <ds:schemaRefs/>
</ds:datastoreItem>
</file>

<file path=customXml/itemProps10.xml><?xml version="1.0" encoding="utf-8"?>
<ds:datastoreItem xmlns:ds="http://schemas.openxmlformats.org/officeDocument/2006/customXml" ds:itemID="{53D9EF36-94C2-497B-81BD-91B8D6C650CE}">
  <ds:schemaRefs/>
</ds:datastoreItem>
</file>

<file path=customXml/itemProps11.xml><?xml version="1.0" encoding="utf-8"?>
<ds:datastoreItem xmlns:ds="http://schemas.openxmlformats.org/officeDocument/2006/customXml" ds:itemID="{BECDD55B-3D3E-4E1C-8B6F-76CB79D06FBA}">
  <ds:schemaRefs/>
</ds:datastoreItem>
</file>

<file path=customXml/itemProps12.xml><?xml version="1.0" encoding="utf-8"?>
<ds:datastoreItem xmlns:ds="http://schemas.openxmlformats.org/officeDocument/2006/customXml" ds:itemID="{5F2485B4-6C32-41FB-85ED-1B819063279C}">
  <ds:schemaRefs/>
</ds:datastoreItem>
</file>

<file path=customXml/itemProps13.xml><?xml version="1.0" encoding="utf-8"?>
<ds:datastoreItem xmlns:ds="http://schemas.openxmlformats.org/officeDocument/2006/customXml" ds:itemID="{A851A790-9F1E-44A6-9095-A8E1CC84BF15}">
  <ds:schemaRefs/>
</ds:datastoreItem>
</file>

<file path=customXml/itemProps14.xml><?xml version="1.0" encoding="utf-8"?>
<ds:datastoreItem xmlns:ds="http://schemas.openxmlformats.org/officeDocument/2006/customXml" ds:itemID="{A79892F4-D143-4768-A869-9FE73E450737}">
  <ds:schemaRefs/>
</ds:datastoreItem>
</file>

<file path=customXml/itemProps15.xml><?xml version="1.0" encoding="utf-8"?>
<ds:datastoreItem xmlns:ds="http://schemas.openxmlformats.org/officeDocument/2006/customXml" ds:itemID="{EBDC7B3D-6739-41B5-8B7B-891B73A98707}">
  <ds:schemaRefs/>
</ds:datastoreItem>
</file>

<file path=customXml/itemProps16.xml><?xml version="1.0" encoding="utf-8"?>
<ds:datastoreItem xmlns:ds="http://schemas.openxmlformats.org/officeDocument/2006/customXml" ds:itemID="{4414E080-C4E9-4DAD-8F58-33D387F19E4A}">
  <ds:schemaRefs/>
</ds:datastoreItem>
</file>

<file path=customXml/itemProps17.xml><?xml version="1.0" encoding="utf-8"?>
<ds:datastoreItem xmlns:ds="http://schemas.openxmlformats.org/officeDocument/2006/customXml" ds:itemID="{954EE7EC-ACA2-4B0C-AC89-964B2E758413}">
  <ds:schemaRefs/>
</ds:datastoreItem>
</file>

<file path=customXml/itemProps18.xml><?xml version="1.0" encoding="utf-8"?>
<ds:datastoreItem xmlns:ds="http://schemas.openxmlformats.org/officeDocument/2006/customXml" ds:itemID="{413921E4-73B8-48EF-BCFE-0FD3853825BE}">
  <ds:schemaRefs/>
</ds:datastoreItem>
</file>

<file path=customXml/itemProps19.xml><?xml version="1.0" encoding="utf-8"?>
<ds:datastoreItem xmlns:ds="http://schemas.openxmlformats.org/officeDocument/2006/customXml" ds:itemID="{1E8E7A6B-A142-48FE-93FC-67A9DACEFC44}">
  <ds:schemaRefs/>
</ds:datastoreItem>
</file>

<file path=customXml/itemProps20.xml><?xml version="1.0" encoding="utf-8"?>
<ds:datastoreItem xmlns:ds="http://schemas.openxmlformats.org/officeDocument/2006/customXml" ds:itemID="{8A6CC283-1ACF-42E4-9789-09A74B253884}">
  <ds:schemaRefs/>
</ds:datastoreItem>
</file>

<file path=customXml/itemProps21.xml><?xml version="1.0" encoding="utf-8"?>
<ds:datastoreItem xmlns:ds="http://schemas.openxmlformats.org/officeDocument/2006/customXml" ds:itemID="{7F213CDA-EED0-4549-9DBD-E6AAB9C46E4E}">
  <ds:schemaRefs/>
</ds:datastoreItem>
</file>

<file path=customXml/itemProps22.xml><?xml version="1.0" encoding="utf-8"?>
<ds:datastoreItem xmlns:ds="http://schemas.openxmlformats.org/officeDocument/2006/customXml" ds:itemID="{F31F83EA-4949-43B9-9306-AF5DB88707BF}">
  <ds:schemaRefs/>
</ds:datastoreItem>
</file>

<file path=customXml/itemProps23.xml><?xml version="1.0" encoding="utf-8"?>
<ds:datastoreItem xmlns:ds="http://schemas.openxmlformats.org/officeDocument/2006/customXml" ds:itemID="{5D32C9BD-F54A-4446-90F3-658E6AA2A210}">
  <ds:schemaRefs/>
</ds:datastoreItem>
</file>

<file path=customXml/itemProps24.xml><?xml version="1.0" encoding="utf-8"?>
<ds:datastoreItem xmlns:ds="http://schemas.openxmlformats.org/officeDocument/2006/customXml" ds:itemID="{33C42F26-F060-4FB8-9F68-2FEF87B83C85}">
  <ds:schemaRefs/>
</ds:datastoreItem>
</file>

<file path=customXml/itemProps25.xml><?xml version="1.0" encoding="utf-8"?>
<ds:datastoreItem xmlns:ds="http://schemas.openxmlformats.org/officeDocument/2006/customXml" ds:itemID="{685B58DB-3A86-40EA-B449-A929645DB0A8}">
  <ds:schemaRefs/>
</ds:datastoreItem>
</file>

<file path=customXml/itemProps26.xml><?xml version="1.0" encoding="utf-8"?>
<ds:datastoreItem xmlns:ds="http://schemas.openxmlformats.org/officeDocument/2006/customXml" ds:itemID="{0C6BA995-5C9F-4478-8295-47142D28EB1F}">
  <ds:schemaRefs/>
</ds:datastoreItem>
</file>

<file path=customXml/itemProps27.xml><?xml version="1.0" encoding="utf-8"?>
<ds:datastoreItem xmlns:ds="http://schemas.openxmlformats.org/officeDocument/2006/customXml" ds:itemID="{4641DE53-9F25-413E-8FA3-6B6C39A483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Dashboard</vt:lpstr>
      <vt:lpstr>Lookup</vt:lpstr>
      <vt:lpstr>Top 10</vt:lpstr>
      <vt:lpstr>calc</vt:lpstr>
      <vt:lpstr>_checks</vt:lpstr>
      <vt:lpstr>_checks_measures</vt:lpstr>
      <vt:lpstr>tbl_monthly</vt:lpstr>
      <vt:lpstr>tbl_budget</vt:lpstr>
      <vt:lpstr>tbl_team</vt:lpstr>
      <vt:lpstr>tbl_month</vt:lpstr>
      <vt:lpstr>tbl_resources</vt:lpstr>
      <vt:lpstr>dim_account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Augusto Victório</dc:creator>
  <cp:lastModifiedBy>Vitor Augusto Victório</cp:lastModifiedBy>
  <cp:lastPrinted>2026-10-13T13:03:47Z</cp:lastPrinted>
  <dcterms:created xsi:type="dcterms:W3CDTF">2026-10-07T13:17:14Z</dcterms:created>
  <dcterms:modified xsi:type="dcterms:W3CDTF">2026-10-13T13:46:33Z</dcterms:modified>
</cp:coreProperties>
</file>